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9. Good morning/"/>
    </mc:Choice>
  </mc:AlternateContent>
  <xr:revisionPtr revIDLastSave="7" documentId="11_F25DC773A252ABDACC10485A31DD4BD65ADE58F6" xr6:coauthVersionLast="47" xr6:coauthVersionMax="47" xr10:uidLastSave="{D6A6FE71-A686-4DBA-B896-A765671C9E29}"/>
  <bookViews>
    <workbookView xWindow="28680" yWindow="-120" windowWidth="29040" windowHeight="15720" activeTab="4" xr2:uid="{00000000-000D-0000-FFFF-FFFF00000000}"/>
  </bookViews>
  <sheets>
    <sheet name="Sheet2" sheetId="3" r:id="rId1"/>
    <sheet name="Cal" sheetId="1" r:id="rId2"/>
    <sheet name="Compare" sheetId="2" r:id="rId3"/>
    <sheet name="Rawdata 2" sheetId="4" r:id="rId4"/>
    <sheet name="Compare2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J24" i="4"/>
  <c r="J4" i="4"/>
  <c r="J27" i="4"/>
  <c r="J7" i="4"/>
  <c r="J26" i="4"/>
  <c r="J25" i="4"/>
  <c r="J5" i="4"/>
  <c r="J23" i="4"/>
  <c r="J3" i="4"/>
  <c r="S3" i="5"/>
  <c r="T3" i="5"/>
  <c r="U3" i="5"/>
  <c r="V3" i="5"/>
  <c r="W3" i="5"/>
  <c r="X3" i="5"/>
  <c r="Y3" i="5"/>
  <c r="Z3" i="5"/>
  <c r="S4" i="5"/>
  <c r="T4" i="5"/>
  <c r="U4" i="5"/>
  <c r="V4" i="5"/>
  <c r="W4" i="5"/>
  <c r="X4" i="5"/>
  <c r="Y4" i="5"/>
  <c r="Z4" i="5"/>
  <c r="S5" i="5"/>
  <c r="T5" i="5"/>
  <c r="U5" i="5"/>
  <c r="V5" i="5"/>
  <c r="W5" i="5"/>
  <c r="X5" i="5"/>
  <c r="Y5" i="5"/>
  <c r="Z5" i="5"/>
  <c r="S6" i="5"/>
  <c r="T6" i="5"/>
  <c r="U6" i="5"/>
  <c r="V6" i="5"/>
  <c r="W6" i="5"/>
  <c r="X6" i="5"/>
  <c r="Y6" i="5"/>
  <c r="Z6" i="5"/>
  <c r="S7" i="5"/>
  <c r="T7" i="5"/>
  <c r="U7" i="5"/>
  <c r="V7" i="5"/>
  <c r="W7" i="5"/>
  <c r="X7" i="5"/>
  <c r="Y7" i="5"/>
  <c r="Z7" i="5"/>
  <c r="S8" i="5"/>
  <c r="T8" i="5"/>
  <c r="U8" i="5"/>
  <c r="V8" i="5"/>
  <c r="W8" i="5"/>
  <c r="X8" i="5"/>
  <c r="Y8" i="5"/>
  <c r="Z8" i="5"/>
  <c r="S9" i="5"/>
  <c r="T9" i="5"/>
  <c r="U9" i="5"/>
  <c r="V9" i="5"/>
  <c r="W9" i="5"/>
  <c r="X9" i="5"/>
  <c r="Y9" i="5"/>
  <c r="Z9" i="5"/>
  <c r="S10" i="5"/>
  <c r="T10" i="5"/>
  <c r="U10" i="5"/>
  <c r="V10" i="5"/>
  <c r="W10" i="5"/>
  <c r="X10" i="5"/>
  <c r="Y10" i="5"/>
  <c r="Z10" i="5"/>
  <c r="S11" i="5"/>
  <c r="T11" i="5"/>
  <c r="U11" i="5"/>
  <c r="V11" i="5"/>
  <c r="W11" i="5"/>
  <c r="X11" i="5"/>
  <c r="Y11" i="5"/>
  <c r="Z11" i="5"/>
  <c r="S12" i="5"/>
  <c r="T12" i="5"/>
  <c r="U12" i="5"/>
  <c r="V12" i="5"/>
  <c r="W12" i="5"/>
  <c r="X12" i="5"/>
  <c r="Y12" i="5"/>
  <c r="Z12" i="5"/>
  <c r="S13" i="5"/>
  <c r="T13" i="5"/>
  <c r="U13" i="5"/>
  <c r="V13" i="5"/>
  <c r="W13" i="5"/>
  <c r="X13" i="5"/>
  <c r="Y13" i="5"/>
  <c r="Z13" i="5"/>
  <c r="S14" i="5"/>
  <c r="T14" i="5"/>
  <c r="U14" i="5"/>
  <c r="V14" i="5"/>
  <c r="W14" i="5"/>
  <c r="X14" i="5"/>
  <c r="Y14" i="5"/>
  <c r="Z14" i="5"/>
  <c r="S15" i="5"/>
  <c r="T15" i="5"/>
  <c r="U15" i="5"/>
  <c r="V15" i="5"/>
  <c r="W15" i="5"/>
  <c r="X15" i="5"/>
  <c r="Y15" i="5"/>
  <c r="Z15" i="5"/>
  <c r="S16" i="5"/>
  <c r="T16" i="5"/>
  <c r="U16" i="5"/>
  <c r="V16" i="5"/>
  <c r="W16" i="5"/>
  <c r="X16" i="5"/>
  <c r="Y16" i="5"/>
  <c r="Z16" i="5"/>
  <c r="S17" i="5"/>
  <c r="T17" i="5"/>
  <c r="U17" i="5"/>
  <c r="V17" i="5"/>
  <c r="W17" i="5"/>
  <c r="X17" i="5"/>
  <c r="Y17" i="5"/>
  <c r="Z17" i="5"/>
  <c r="S18" i="5"/>
  <c r="T18" i="5"/>
  <c r="U18" i="5"/>
  <c r="V18" i="5"/>
  <c r="W18" i="5"/>
  <c r="X18" i="5"/>
  <c r="Y18" i="5"/>
  <c r="Z18" i="5"/>
  <c r="S19" i="5"/>
  <c r="T19" i="5"/>
  <c r="U19" i="5"/>
  <c r="V19" i="5"/>
  <c r="W19" i="5"/>
  <c r="X19" i="5"/>
  <c r="Y19" i="5"/>
  <c r="Z19" i="5"/>
  <c r="S20" i="5"/>
  <c r="T20" i="5"/>
  <c r="U20" i="5"/>
  <c r="V20" i="5"/>
  <c r="W20" i="5"/>
  <c r="X20" i="5"/>
  <c r="Y20" i="5"/>
  <c r="Z20" i="5"/>
  <c r="S21" i="5"/>
  <c r="T21" i="5"/>
  <c r="U21" i="5"/>
  <c r="V21" i="5"/>
  <c r="W21" i="5"/>
  <c r="X21" i="5"/>
  <c r="Y21" i="5"/>
  <c r="Z21" i="5"/>
  <c r="S22" i="5"/>
  <c r="T22" i="5"/>
  <c r="U22" i="5"/>
  <c r="V22" i="5"/>
  <c r="W22" i="5"/>
  <c r="X22" i="5"/>
  <c r="Y22" i="5"/>
  <c r="Z22" i="5"/>
  <c r="S23" i="5"/>
  <c r="T23" i="5"/>
  <c r="U23" i="5"/>
  <c r="V23" i="5"/>
  <c r="W23" i="5"/>
  <c r="X23" i="5"/>
  <c r="Y23" i="5"/>
  <c r="Z23" i="5"/>
  <c r="S24" i="5"/>
  <c r="T24" i="5"/>
  <c r="U24" i="5"/>
  <c r="V24" i="5"/>
  <c r="W24" i="5"/>
  <c r="X24" i="5"/>
  <c r="Y24" i="5"/>
  <c r="Z24" i="5"/>
  <c r="S25" i="5"/>
  <c r="T25" i="5"/>
  <c r="U25" i="5"/>
  <c r="V25" i="5"/>
  <c r="W25" i="5"/>
  <c r="X25" i="5"/>
  <c r="Y25" i="5"/>
  <c r="Z25" i="5"/>
  <c r="S26" i="5"/>
  <c r="T26" i="5"/>
  <c r="U26" i="5"/>
  <c r="V26" i="5"/>
  <c r="W26" i="5"/>
  <c r="X26" i="5"/>
  <c r="Y26" i="5"/>
  <c r="Z26" i="5"/>
  <c r="S27" i="5"/>
  <c r="T27" i="5"/>
  <c r="U27" i="5"/>
  <c r="V27" i="5"/>
  <c r="W27" i="5"/>
  <c r="X27" i="5"/>
  <c r="Y27" i="5"/>
  <c r="Z27" i="5"/>
  <c r="S28" i="5"/>
  <c r="T28" i="5"/>
  <c r="U28" i="5"/>
  <c r="V28" i="5"/>
  <c r="W28" i="5"/>
  <c r="X28" i="5"/>
  <c r="Y28" i="5"/>
  <c r="Z28" i="5"/>
  <c r="S29" i="5"/>
  <c r="T29" i="5"/>
  <c r="U29" i="5"/>
  <c r="V29" i="5"/>
  <c r="W29" i="5"/>
  <c r="X29" i="5"/>
  <c r="Y29" i="5"/>
  <c r="Z29" i="5"/>
  <c r="S30" i="5"/>
  <c r="T30" i="5"/>
  <c r="U30" i="5"/>
  <c r="V30" i="5"/>
  <c r="W30" i="5"/>
  <c r="X30" i="5"/>
  <c r="Y30" i="5"/>
  <c r="Z30" i="5"/>
  <c r="S31" i="5"/>
  <c r="T31" i="5"/>
  <c r="U31" i="5"/>
  <c r="V31" i="5"/>
  <c r="W31" i="5"/>
  <c r="X31" i="5"/>
  <c r="Y31" i="5"/>
  <c r="Z31" i="5"/>
  <c r="S32" i="5"/>
  <c r="T32" i="5"/>
  <c r="U32" i="5"/>
  <c r="V32" i="5"/>
  <c r="W32" i="5"/>
  <c r="X32" i="5"/>
  <c r="Y32" i="5"/>
  <c r="Z32" i="5"/>
  <c r="S33" i="5"/>
  <c r="T33" i="5"/>
  <c r="U33" i="5"/>
  <c r="V33" i="5"/>
  <c r="W33" i="5"/>
  <c r="X33" i="5"/>
  <c r="Y33" i="5"/>
  <c r="Z33" i="5"/>
  <c r="T2" i="5"/>
  <c r="U2" i="5"/>
  <c r="V2" i="5"/>
  <c r="W2" i="5"/>
  <c r="X2" i="5"/>
  <c r="Y2" i="5"/>
  <c r="Z2" i="5"/>
  <c r="S2" i="5"/>
  <c r="T82" i="1"/>
  <c r="S82" i="1"/>
  <c r="R82" i="1"/>
  <c r="T64" i="1"/>
  <c r="T48" i="1"/>
  <c r="S64" i="1"/>
  <c r="S48" i="1"/>
  <c r="R64" i="1"/>
  <c r="R48" i="1"/>
  <c r="Q48" i="1"/>
  <c r="O42" i="2"/>
  <c r="P42" i="2"/>
  <c r="Q42" i="2"/>
  <c r="R42" i="2"/>
  <c r="S42" i="2"/>
  <c r="T42" i="2"/>
  <c r="O43" i="2"/>
  <c r="P43" i="2"/>
  <c r="Q43" i="2"/>
  <c r="R43" i="2"/>
  <c r="S43" i="2"/>
  <c r="T43" i="2"/>
  <c r="O44" i="2"/>
  <c r="P44" i="2"/>
  <c r="Q44" i="2"/>
  <c r="R44" i="2"/>
  <c r="S44" i="2"/>
  <c r="T44" i="2"/>
  <c r="O45" i="2"/>
  <c r="P45" i="2"/>
  <c r="Q45" i="2"/>
  <c r="R45" i="2"/>
  <c r="S45" i="2"/>
  <c r="T45" i="2"/>
  <c r="O46" i="2"/>
  <c r="P46" i="2"/>
  <c r="Q46" i="2"/>
  <c r="R46" i="2"/>
  <c r="S46" i="2"/>
  <c r="T46" i="2"/>
  <c r="O47" i="2"/>
  <c r="P47" i="2"/>
  <c r="Q47" i="2"/>
  <c r="R47" i="2"/>
  <c r="S47" i="2"/>
  <c r="T47" i="2"/>
  <c r="O48" i="2"/>
  <c r="P48" i="2"/>
  <c r="Q48" i="2"/>
  <c r="R48" i="2"/>
  <c r="S48" i="2"/>
  <c r="T48" i="2"/>
  <c r="O49" i="2"/>
  <c r="P49" i="2"/>
  <c r="Q49" i="2"/>
  <c r="R49" i="2"/>
  <c r="S49" i="2"/>
  <c r="T49" i="2"/>
  <c r="O50" i="2"/>
  <c r="P50" i="2"/>
  <c r="Q50" i="2"/>
  <c r="R50" i="2"/>
  <c r="S50" i="2"/>
  <c r="T50" i="2"/>
  <c r="O51" i="2"/>
  <c r="P51" i="2"/>
  <c r="Q51" i="2"/>
  <c r="R51" i="2"/>
  <c r="S51" i="2"/>
  <c r="T51" i="2"/>
  <c r="O52" i="2"/>
  <c r="P52" i="2"/>
  <c r="Q52" i="2"/>
  <c r="R52" i="2"/>
  <c r="S52" i="2"/>
  <c r="T52" i="2"/>
  <c r="O53" i="2"/>
  <c r="P53" i="2"/>
  <c r="Q53" i="2"/>
  <c r="R53" i="2"/>
  <c r="S53" i="2"/>
  <c r="T53" i="2"/>
  <c r="O54" i="2"/>
  <c r="P54" i="2"/>
  <c r="Q54" i="2"/>
  <c r="R54" i="2"/>
  <c r="S54" i="2"/>
  <c r="T54" i="2"/>
  <c r="O55" i="2"/>
  <c r="P55" i="2"/>
  <c r="Q55" i="2"/>
  <c r="R55" i="2"/>
  <c r="S55" i="2"/>
  <c r="T55" i="2"/>
  <c r="O56" i="2"/>
  <c r="P56" i="2"/>
  <c r="Q56" i="2"/>
  <c r="R56" i="2"/>
  <c r="S56" i="2"/>
  <c r="T56" i="2"/>
  <c r="O57" i="2"/>
  <c r="P57" i="2"/>
  <c r="Q57" i="2"/>
  <c r="R57" i="2"/>
  <c r="S57" i="2"/>
  <c r="T57" i="2"/>
  <c r="O58" i="2"/>
  <c r="P58" i="2"/>
  <c r="Q58" i="2"/>
  <c r="R58" i="2"/>
  <c r="S58" i="2"/>
  <c r="T58" i="2"/>
  <c r="O59" i="2"/>
  <c r="P59" i="2"/>
  <c r="Q59" i="2"/>
  <c r="R59" i="2"/>
  <c r="S59" i="2"/>
  <c r="T59" i="2"/>
  <c r="O60" i="2"/>
  <c r="P60" i="2"/>
  <c r="Q60" i="2"/>
  <c r="R60" i="2"/>
  <c r="S60" i="2"/>
  <c r="T60" i="2"/>
  <c r="O61" i="2"/>
  <c r="P61" i="2"/>
  <c r="Q61" i="2"/>
  <c r="R61" i="2"/>
  <c r="S61" i="2"/>
  <c r="T61" i="2"/>
  <c r="O62" i="2"/>
  <c r="P62" i="2"/>
  <c r="Q62" i="2"/>
  <c r="R62" i="2"/>
  <c r="S62" i="2"/>
  <c r="T62" i="2"/>
  <c r="O63" i="2"/>
  <c r="P63" i="2"/>
  <c r="Q63" i="2"/>
  <c r="R63" i="2"/>
  <c r="S63" i="2"/>
  <c r="T63" i="2"/>
  <c r="O64" i="2"/>
  <c r="P64" i="2"/>
  <c r="Q64" i="2"/>
  <c r="R64" i="2"/>
  <c r="S64" i="2"/>
  <c r="T64" i="2"/>
  <c r="O65" i="2"/>
  <c r="P65" i="2"/>
  <c r="Q65" i="2"/>
  <c r="R65" i="2"/>
  <c r="S65" i="2"/>
  <c r="T65" i="2"/>
  <c r="O66" i="2"/>
  <c r="P66" i="2"/>
  <c r="Q66" i="2"/>
  <c r="R66" i="2"/>
  <c r="S66" i="2"/>
  <c r="T66" i="2"/>
  <c r="O67" i="2"/>
  <c r="P67" i="2"/>
  <c r="Q67" i="2"/>
  <c r="R67" i="2"/>
  <c r="S67" i="2"/>
  <c r="T67" i="2"/>
  <c r="O68" i="2"/>
  <c r="P68" i="2"/>
  <c r="Q68" i="2"/>
  <c r="R68" i="2"/>
  <c r="S68" i="2"/>
  <c r="T68" i="2"/>
  <c r="O69" i="2"/>
  <c r="P69" i="2"/>
  <c r="Q69" i="2"/>
  <c r="R69" i="2"/>
  <c r="S69" i="2"/>
  <c r="T69" i="2"/>
  <c r="O70" i="2"/>
  <c r="P70" i="2"/>
  <c r="Q70" i="2"/>
  <c r="R70" i="2"/>
  <c r="S70" i="2"/>
  <c r="T70" i="2"/>
  <c r="O71" i="2"/>
  <c r="P71" i="2"/>
  <c r="Q71" i="2"/>
  <c r="R71" i="2"/>
  <c r="S71" i="2"/>
  <c r="T71" i="2"/>
  <c r="O72" i="2"/>
  <c r="P72" i="2"/>
  <c r="Q72" i="2"/>
  <c r="R72" i="2"/>
  <c r="S72" i="2"/>
  <c r="T72" i="2"/>
  <c r="O73" i="2"/>
  <c r="P73" i="2"/>
  <c r="Q73" i="2"/>
  <c r="R73" i="2"/>
  <c r="S73" i="2"/>
  <c r="T73" i="2"/>
  <c r="O74" i="2"/>
  <c r="P74" i="2"/>
  <c r="Q74" i="2"/>
  <c r="R74" i="2"/>
  <c r="S74" i="2"/>
  <c r="T74" i="2"/>
  <c r="P41" i="2"/>
  <c r="Q41" i="2"/>
  <c r="R41" i="2"/>
  <c r="S41" i="2"/>
  <c r="T41" i="2"/>
  <c r="O41" i="2"/>
  <c r="Q82" i="1"/>
  <c r="O82" i="1"/>
  <c r="O83" i="1"/>
  <c r="M82" i="1"/>
  <c r="N82" i="1"/>
  <c r="N83" i="1"/>
  <c r="L82" i="1"/>
  <c r="K82" i="1"/>
  <c r="I82" i="1"/>
  <c r="I83" i="1"/>
  <c r="F82" i="1"/>
  <c r="F83" i="1"/>
  <c r="E82" i="1"/>
  <c r="G82" i="1"/>
  <c r="H82" i="1"/>
  <c r="H83" i="1"/>
  <c r="C82" i="1"/>
  <c r="D82" i="1"/>
  <c r="D83" i="1"/>
  <c r="K83" i="1"/>
  <c r="B83" i="1"/>
  <c r="S83" i="1"/>
  <c r="B82" i="1"/>
  <c r="Q64" i="1"/>
  <c r="P64" i="1"/>
  <c r="O64" i="1"/>
  <c r="O48" i="1"/>
  <c r="P48" i="1"/>
  <c r="L64" i="1"/>
  <c r="K64" i="1"/>
  <c r="M64" i="1"/>
  <c r="N64" i="1"/>
  <c r="L48" i="1"/>
  <c r="K48" i="1"/>
  <c r="M48" i="1"/>
  <c r="N48" i="1"/>
  <c r="J64" i="1"/>
  <c r="I64" i="1"/>
  <c r="I48" i="1"/>
  <c r="J48" i="1"/>
  <c r="F64" i="1"/>
  <c r="F48" i="1"/>
  <c r="E64" i="1"/>
  <c r="G64" i="1"/>
  <c r="H64" i="1"/>
  <c r="E48" i="1"/>
  <c r="G48" i="1"/>
  <c r="H48" i="1"/>
  <c r="B64" i="1"/>
  <c r="C64" i="1"/>
  <c r="D64" i="1"/>
  <c r="B48" i="1"/>
  <c r="C48" i="1"/>
  <c r="D48" i="1"/>
  <c r="T37" i="1"/>
  <c r="T38" i="1"/>
  <c r="S37" i="1"/>
  <c r="S38" i="1"/>
  <c r="Q37" i="1"/>
  <c r="Q38" i="1"/>
  <c r="P37" i="1"/>
  <c r="P38" i="1"/>
  <c r="N37" i="1"/>
  <c r="N38" i="1"/>
  <c r="L37" i="1"/>
  <c r="L38" i="1"/>
  <c r="K37" i="1"/>
  <c r="K38" i="1"/>
  <c r="I37" i="1"/>
  <c r="I38" i="1"/>
  <c r="H37" i="1"/>
  <c r="H38" i="1"/>
  <c r="F37" i="1"/>
  <c r="G37" i="1"/>
  <c r="G38" i="1"/>
  <c r="D37" i="1"/>
  <c r="D38" i="1"/>
  <c r="B37" i="1"/>
  <c r="B38" i="1"/>
  <c r="I3" i="1"/>
  <c r="Y19" i="2"/>
  <c r="S3" i="2"/>
  <c r="T3" i="2"/>
  <c r="U3" i="2"/>
  <c r="V3" i="2"/>
  <c r="W3" i="2"/>
  <c r="X3" i="2"/>
  <c r="Y3" i="2"/>
  <c r="Z3" i="2"/>
  <c r="S4" i="2"/>
  <c r="T4" i="2"/>
  <c r="U4" i="2"/>
  <c r="V4" i="2"/>
  <c r="W4" i="2"/>
  <c r="X4" i="2"/>
  <c r="Y4" i="2"/>
  <c r="Z4" i="2"/>
  <c r="S5" i="2"/>
  <c r="T5" i="2"/>
  <c r="U5" i="2"/>
  <c r="V5" i="2"/>
  <c r="W5" i="2"/>
  <c r="X5" i="2"/>
  <c r="Y5" i="2"/>
  <c r="Z5" i="2"/>
  <c r="S6" i="2"/>
  <c r="T6" i="2"/>
  <c r="U6" i="2"/>
  <c r="V6" i="2"/>
  <c r="W6" i="2"/>
  <c r="X6" i="2"/>
  <c r="Y6" i="2"/>
  <c r="Z6" i="2"/>
  <c r="S7" i="2"/>
  <c r="T7" i="2"/>
  <c r="U7" i="2"/>
  <c r="V7" i="2"/>
  <c r="W7" i="2"/>
  <c r="X7" i="2"/>
  <c r="Y7" i="2"/>
  <c r="Z7" i="2"/>
  <c r="S8" i="2"/>
  <c r="T8" i="2"/>
  <c r="U8" i="2"/>
  <c r="V8" i="2"/>
  <c r="W8" i="2"/>
  <c r="X8" i="2"/>
  <c r="Y8" i="2"/>
  <c r="Z8" i="2"/>
  <c r="S9" i="2"/>
  <c r="T9" i="2"/>
  <c r="U9" i="2"/>
  <c r="V9" i="2"/>
  <c r="W9" i="2"/>
  <c r="X9" i="2"/>
  <c r="Y9" i="2"/>
  <c r="Z9" i="2"/>
  <c r="S10" i="2"/>
  <c r="T10" i="2"/>
  <c r="U10" i="2"/>
  <c r="V10" i="2"/>
  <c r="W10" i="2"/>
  <c r="X10" i="2"/>
  <c r="Y10" i="2"/>
  <c r="Z10" i="2"/>
  <c r="S11" i="2"/>
  <c r="T11" i="2"/>
  <c r="U11" i="2"/>
  <c r="V11" i="2"/>
  <c r="W11" i="2"/>
  <c r="X11" i="2"/>
  <c r="Y11" i="2"/>
  <c r="Z11" i="2"/>
  <c r="S12" i="2"/>
  <c r="T12" i="2"/>
  <c r="U12" i="2"/>
  <c r="V12" i="2"/>
  <c r="W12" i="2"/>
  <c r="X12" i="2"/>
  <c r="Y12" i="2"/>
  <c r="Z12" i="2"/>
  <c r="S13" i="2"/>
  <c r="T13" i="2"/>
  <c r="U13" i="2"/>
  <c r="V13" i="2"/>
  <c r="W13" i="2"/>
  <c r="X13" i="2"/>
  <c r="Y13" i="2"/>
  <c r="Z13" i="2"/>
  <c r="S14" i="2"/>
  <c r="T14" i="2"/>
  <c r="U14" i="2"/>
  <c r="V14" i="2"/>
  <c r="W14" i="2"/>
  <c r="X14" i="2"/>
  <c r="Y14" i="2"/>
  <c r="Z14" i="2"/>
  <c r="S15" i="2"/>
  <c r="T15" i="2"/>
  <c r="U15" i="2"/>
  <c r="V15" i="2"/>
  <c r="W15" i="2"/>
  <c r="X15" i="2"/>
  <c r="Y15" i="2"/>
  <c r="Z15" i="2"/>
  <c r="S16" i="2"/>
  <c r="T16" i="2"/>
  <c r="U16" i="2"/>
  <c r="V16" i="2"/>
  <c r="W16" i="2"/>
  <c r="X16" i="2"/>
  <c r="Y16" i="2"/>
  <c r="Z16" i="2"/>
  <c r="S17" i="2"/>
  <c r="T17" i="2"/>
  <c r="U17" i="2"/>
  <c r="V17" i="2"/>
  <c r="W17" i="2"/>
  <c r="X17" i="2"/>
  <c r="Y17" i="2"/>
  <c r="Z17" i="2"/>
  <c r="S18" i="2"/>
  <c r="T18" i="2"/>
  <c r="U18" i="2"/>
  <c r="V18" i="2"/>
  <c r="W18" i="2"/>
  <c r="X18" i="2"/>
  <c r="Y18" i="2"/>
  <c r="Z18" i="2"/>
  <c r="S19" i="2"/>
  <c r="T19" i="2"/>
  <c r="U19" i="2"/>
  <c r="V19" i="2"/>
  <c r="W19" i="2"/>
  <c r="X19" i="2"/>
  <c r="Z19" i="2"/>
  <c r="S20" i="2"/>
  <c r="T20" i="2"/>
  <c r="U20" i="2"/>
  <c r="V20" i="2"/>
  <c r="W20" i="2"/>
  <c r="X20" i="2"/>
  <c r="Y20" i="2"/>
  <c r="Z20" i="2"/>
  <c r="S21" i="2"/>
  <c r="T21" i="2"/>
  <c r="U21" i="2"/>
  <c r="V21" i="2"/>
  <c r="W21" i="2"/>
  <c r="X21" i="2"/>
  <c r="Y21" i="2"/>
  <c r="Z21" i="2"/>
  <c r="S22" i="2"/>
  <c r="T22" i="2"/>
  <c r="U22" i="2"/>
  <c r="V22" i="2"/>
  <c r="W22" i="2"/>
  <c r="X22" i="2"/>
  <c r="Y22" i="2"/>
  <c r="Z22" i="2"/>
  <c r="S23" i="2"/>
  <c r="T23" i="2"/>
  <c r="U23" i="2"/>
  <c r="V23" i="2"/>
  <c r="W23" i="2"/>
  <c r="X23" i="2"/>
  <c r="Y23" i="2"/>
  <c r="Z23" i="2"/>
  <c r="S24" i="2"/>
  <c r="T24" i="2"/>
  <c r="U24" i="2"/>
  <c r="V24" i="2"/>
  <c r="W24" i="2"/>
  <c r="X24" i="2"/>
  <c r="Y24" i="2"/>
  <c r="Z24" i="2"/>
  <c r="S25" i="2"/>
  <c r="T25" i="2"/>
  <c r="U25" i="2"/>
  <c r="V25" i="2"/>
  <c r="W25" i="2"/>
  <c r="X25" i="2"/>
  <c r="Y25" i="2"/>
  <c r="Z25" i="2"/>
  <c r="S26" i="2"/>
  <c r="T26" i="2"/>
  <c r="U26" i="2"/>
  <c r="V26" i="2"/>
  <c r="W26" i="2"/>
  <c r="X26" i="2"/>
  <c r="Y26" i="2"/>
  <c r="Z26" i="2"/>
  <c r="S27" i="2"/>
  <c r="T27" i="2"/>
  <c r="U27" i="2"/>
  <c r="V27" i="2"/>
  <c r="W27" i="2"/>
  <c r="X27" i="2"/>
  <c r="Y27" i="2"/>
  <c r="Z27" i="2"/>
  <c r="S28" i="2"/>
  <c r="T28" i="2"/>
  <c r="U28" i="2"/>
  <c r="V28" i="2"/>
  <c r="W28" i="2"/>
  <c r="X28" i="2"/>
  <c r="Y28" i="2"/>
  <c r="Z28" i="2"/>
  <c r="S29" i="2"/>
  <c r="T29" i="2"/>
  <c r="U29" i="2"/>
  <c r="V29" i="2"/>
  <c r="W29" i="2"/>
  <c r="X29" i="2"/>
  <c r="Y29" i="2"/>
  <c r="Z29" i="2"/>
  <c r="S30" i="2"/>
  <c r="T30" i="2"/>
  <c r="U30" i="2"/>
  <c r="V30" i="2"/>
  <c r="W30" i="2"/>
  <c r="X30" i="2"/>
  <c r="Y30" i="2"/>
  <c r="Z30" i="2"/>
  <c r="S31" i="2"/>
  <c r="T31" i="2"/>
  <c r="U31" i="2"/>
  <c r="V31" i="2"/>
  <c r="W31" i="2"/>
  <c r="X31" i="2"/>
  <c r="Y31" i="2"/>
  <c r="Z31" i="2"/>
  <c r="S32" i="2"/>
  <c r="T32" i="2"/>
  <c r="U32" i="2"/>
  <c r="V32" i="2"/>
  <c r="W32" i="2"/>
  <c r="X32" i="2"/>
  <c r="Y32" i="2"/>
  <c r="Z32" i="2"/>
  <c r="S33" i="2"/>
  <c r="T33" i="2"/>
  <c r="U33" i="2"/>
  <c r="V33" i="2"/>
  <c r="W33" i="2"/>
  <c r="X33" i="2"/>
  <c r="Y33" i="2"/>
  <c r="Z33" i="2"/>
  <c r="S34" i="2"/>
  <c r="T34" i="2"/>
  <c r="U34" i="2"/>
  <c r="V34" i="2"/>
  <c r="W34" i="2"/>
  <c r="X34" i="2"/>
  <c r="Y34" i="2"/>
  <c r="Z34" i="2"/>
  <c r="S35" i="2"/>
  <c r="T35" i="2"/>
  <c r="U35" i="2"/>
  <c r="V35" i="2"/>
  <c r="W35" i="2"/>
  <c r="X35" i="2"/>
  <c r="Y35" i="2"/>
  <c r="Z35" i="2"/>
  <c r="Z2" i="2"/>
  <c r="T2" i="2"/>
  <c r="U2" i="2"/>
  <c r="V2" i="2"/>
  <c r="W2" i="2"/>
  <c r="X2" i="2"/>
  <c r="Y2" i="2"/>
  <c r="S2" i="2"/>
  <c r="T19" i="1"/>
  <c r="S19" i="1"/>
  <c r="U19" i="1"/>
  <c r="Q19" i="1"/>
  <c r="P19" i="1"/>
  <c r="T3" i="1"/>
  <c r="S3" i="1"/>
  <c r="Q3" i="1"/>
  <c r="P3" i="1"/>
  <c r="N19" i="1"/>
  <c r="O19" i="1"/>
  <c r="N3" i="1"/>
  <c r="O3" i="1"/>
  <c r="L19" i="1"/>
  <c r="K19" i="1"/>
  <c r="L3" i="1"/>
  <c r="K3" i="1"/>
  <c r="M3" i="1"/>
  <c r="H19" i="1"/>
  <c r="I19" i="1"/>
  <c r="H3" i="1"/>
  <c r="J3" i="1"/>
  <c r="F19" i="1"/>
  <c r="G19" i="1"/>
  <c r="B19" i="1"/>
  <c r="C19" i="1"/>
  <c r="F3" i="1"/>
  <c r="G3" i="1"/>
  <c r="D3" i="1"/>
  <c r="D19" i="1"/>
  <c r="B3" i="1"/>
  <c r="C3" i="1"/>
  <c r="R83" i="1"/>
  <c r="T83" i="1"/>
  <c r="M83" i="1"/>
  <c r="P82" i="1"/>
  <c r="P83" i="1"/>
  <c r="E3" i="1"/>
  <c r="J82" i="1"/>
  <c r="L83" i="1"/>
  <c r="C83" i="1"/>
  <c r="E83" i="1"/>
  <c r="Q83" i="1"/>
  <c r="J83" i="1"/>
  <c r="G83" i="1"/>
  <c r="R3" i="1"/>
  <c r="R19" i="1"/>
  <c r="M19" i="1"/>
  <c r="F38" i="1"/>
  <c r="J19" i="1"/>
  <c r="U37" i="1"/>
  <c r="U38" i="1"/>
  <c r="R37" i="1"/>
  <c r="R38" i="1"/>
  <c r="O37" i="1"/>
  <c r="O38" i="1"/>
  <c r="C37" i="1"/>
  <c r="M37" i="1"/>
  <c r="M38" i="1"/>
  <c r="J37" i="1"/>
  <c r="J38" i="1"/>
  <c r="E19" i="1"/>
  <c r="U3" i="1"/>
  <c r="C38" i="1"/>
  <c r="E37" i="1"/>
  <c r="E38" i="1"/>
</calcChain>
</file>

<file path=xl/sharedStrings.xml><?xml version="1.0" encoding="utf-8"?>
<sst xmlns="http://schemas.openxmlformats.org/spreadsheetml/2006/main" count="595" uniqueCount="79">
  <si>
    <t>CHANNEL</t>
  </si>
  <si>
    <t>REVENUE_TY</t>
  </si>
  <si>
    <t>ACT</t>
  </si>
  <si>
    <t>#TB05_SUM_SD_MB_REVENUE_LY</t>
  </si>
  <si>
    <t>vs PY</t>
  </si>
  <si>
    <t>MTD_TY</t>
  </si>
  <si>
    <t>MTD</t>
  </si>
  <si>
    <t>MTD_LY</t>
  </si>
  <si>
    <t>MTD_TY_LE</t>
  </si>
  <si>
    <t>vs Tar*</t>
  </si>
  <si>
    <t>YTD_TY</t>
  </si>
  <si>
    <t>YTD</t>
  </si>
  <si>
    <t>YTD_LY</t>
  </si>
  <si>
    <t>YTD_TY_LE</t>
  </si>
  <si>
    <t>TOTAL</t>
  </si>
  <si>
    <t xml:space="preserve">   BKK</t>
  </si>
  <si>
    <t xml:space="preserve">    ┗ TT-BKK</t>
  </si>
  <si>
    <t xml:space="preserve">       ┗ DSD</t>
  </si>
  <si>
    <t xml:space="preserve">       ┗ STK</t>
  </si>
  <si>
    <t xml:space="preserve">    ┗ TTC-BKK</t>
  </si>
  <si>
    <t xml:space="preserve">   NORTH</t>
  </si>
  <si>
    <t xml:space="preserve">    ┗ TT-NORTH</t>
  </si>
  <si>
    <t xml:space="preserve">    ┗ TTC-NORTH</t>
  </si>
  <si>
    <t xml:space="preserve">   UNE</t>
  </si>
  <si>
    <t xml:space="preserve">    ┗ TT-UNE</t>
  </si>
  <si>
    <t xml:space="preserve">    ┗ TTC-UNE</t>
  </si>
  <si>
    <t xml:space="preserve">   LNE</t>
  </si>
  <si>
    <t xml:space="preserve">    ┗ TT-LNE</t>
  </si>
  <si>
    <t xml:space="preserve">    ┗ TTC-LNE</t>
  </si>
  <si>
    <t xml:space="preserve">   EAST</t>
  </si>
  <si>
    <t xml:space="preserve">    ┗ TT-EAST</t>
  </si>
  <si>
    <t xml:space="preserve">    ┗ TTC-EAST</t>
  </si>
  <si>
    <t xml:space="preserve">   WEST</t>
  </si>
  <si>
    <t xml:space="preserve">    ┗ TT-WEST</t>
  </si>
  <si>
    <t xml:space="preserve">    ┗ TTC-WEST</t>
  </si>
  <si>
    <t>TTO</t>
  </si>
  <si>
    <t>N/A</t>
  </si>
  <si>
    <t>Total Geo WEST</t>
  </si>
  <si>
    <t>Total Geo EAST</t>
  </si>
  <si>
    <t>TOTAL TT</t>
  </si>
  <si>
    <t>Total [Manual Cal]</t>
  </si>
  <si>
    <t>VOLUME_TY</t>
  </si>
  <si>
    <t>#TB05_K_SUM_SD_VOLUME_TY</t>
  </si>
  <si>
    <t>VOLUME_LY</t>
  </si>
  <si>
    <t>#TB05_SUM_SD_VOLUME_GROWTH</t>
  </si>
  <si>
    <t>TB_VOLUME_MTD_TY</t>
  </si>
  <si>
    <t>TB_VOLUME_MTD_LY</t>
  </si>
  <si>
    <t>#TB05_SUM_SD_VOLUME_GROWTH_MTD</t>
  </si>
  <si>
    <t>TB_VOLUME_YTD_TY</t>
  </si>
  <si>
    <t>#TB05_SUM_SD_VOLUME_GROWTH_YTD</t>
  </si>
  <si>
    <t>TB_VOLUME_YTD_LY</t>
  </si>
  <si>
    <t>Geo WEST</t>
  </si>
  <si>
    <t xml:space="preserve">   ┗ TT-GEO WEST</t>
  </si>
  <si>
    <t xml:space="preserve">          ┗ DSD</t>
  </si>
  <si>
    <t xml:space="preserve">          ┗ IND</t>
  </si>
  <si>
    <t xml:space="preserve">   ┗ TTC-GEO WEST</t>
  </si>
  <si>
    <t xml:space="preserve">       BKK</t>
  </si>
  <si>
    <t xml:space="preserve">       ┗ TT-BKK</t>
  </si>
  <si>
    <t xml:space="preserve">          ┗ STK</t>
  </si>
  <si>
    <t xml:space="preserve">       ┗ TTC-BKK</t>
  </si>
  <si>
    <t xml:space="preserve">       NORTH</t>
  </si>
  <si>
    <t xml:space="preserve">       ┗ TT-NORTH</t>
  </si>
  <si>
    <t xml:space="preserve">       ┗ TTC-NORTH</t>
  </si>
  <si>
    <t xml:space="preserve">       WEST</t>
  </si>
  <si>
    <t xml:space="preserve">       ┗ TT-WEST</t>
  </si>
  <si>
    <t xml:space="preserve">       ┗ TTC-WEST</t>
  </si>
  <si>
    <t>Geo EAST</t>
  </si>
  <si>
    <t xml:space="preserve">   ┗ TT-GEO EAST</t>
  </si>
  <si>
    <t xml:space="preserve">   ┗ TTC-GEO EAST</t>
  </si>
  <si>
    <t xml:space="preserve">       UNE</t>
  </si>
  <si>
    <t xml:space="preserve">       ┗ TT-UNE</t>
  </si>
  <si>
    <t xml:space="preserve">       ┗ TTC-UNE</t>
  </si>
  <si>
    <t xml:space="preserve">       LNE</t>
  </si>
  <si>
    <t xml:space="preserve">       ┗ TT-LNE</t>
  </si>
  <si>
    <t xml:space="preserve">       ┗ TTC-LNE</t>
  </si>
  <si>
    <t xml:space="preserve">       EAST</t>
  </si>
  <si>
    <t xml:space="preserve">       ┗ TT-EAST</t>
  </si>
  <si>
    <t xml:space="preserve">       ┗ TTC-EAST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</si>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</sst>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.0_-;\-* #,##0.0_-;_-* &quot;-&quot;??_-;_-@_-"/>
    <numFmt numFmtId="188" formatCode="_-* #,##0.0_-;\-* #,##0.0_-;_-* &quot;-&quot;?_-;_-@_-"/>
    <numFmt numFmtId="189" formatCode="_-* #,##0.000000_-;\-* #,##0.000000_-;_-* &quot;-&quot;??_-;_-@_-"/>
  </numFmts>
  <fonts count="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0" fontId="0" fillId="0" borderId="0" xfId="0" applyNumberFormat="1"/>
    <xf numFmtId="0" fontId="0" fillId="2" borderId="0" xfId="0" applyFill="1"/>
    <xf numFmtId="0" fontId="2" fillId="0" borderId="0" xfId="0" applyFont="1"/>
    <xf numFmtId="10" fontId="2" fillId="0" borderId="0" xfId="0" applyNumberFormat="1" applyFont="1"/>
    <xf numFmtId="43" fontId="0" fillId="0" borderId="0" xfId="1" applyFont="1"/>
    <xf numFmtId="187" fontId="0" fillId="2" borderId="0" xfId="1" applyNumberFormat="1" applyFont="1" applyFill="1"/>
    <xf numFmtId="187" fontId="0" fillId="0" borderId="0" xfId="1" applyNumberFormat="1" applyFont="1"/>
    <xf numFmtId="187" fontId="2" fillId="0" borderId="0" xfId="1" applyNumberFormat="1" applyFont="1"/>
    <xf numFmtId="187" fontId="0" fillId="0" borderId="0" xfId="0" applyNumberFormat="1"/>
    <xf numFmtId="188" fontId="0" fillId="0" borderId="0" xfId="0" applyNumberFormat="1"/>
    <xf numFmtId="9" fontId="0" fillId="2" borderId="0" xfId="2" applyFont="1" applyFill="1"/>
    <xf numFmtId="9" fontId="0" fillId="0" borderId="0" xfId="2" applyFont="1"/>
    <xf numFmtId="9" fontId="2" fillId="0" borderId="0" xfId="2" applyFont="1"/>
    <xf numFmtId="10" fontId="0" fillId="0" borderId="0" xfId="2" applyNumberFormat="1" applyFont="1"/>
    <xf numFmtId="187" fontId="0" fillId="3" borderId="0" xfId="1" applyNumberFormat="1" applyFont="1" applyFill="1"/>
    <xf numFmtId="9" fontId="0" fillId="3" borderId="0" xfId="2" applyFont="1" applyFill="1"/>
    <xf numFmtId="0" fontId="0" fillId="3" borderId="0" xfId="0" applyFill="1"/>
    <xf numFmtId="43" fontId="0" fillId="0" borderId="0" xfId="0" applyNumberFormat="1"/>
    <xf numFmtId="189" fontId="0" fillId="0" borderId="0" xfId="1" applyNumberFormat="1" applyFont="1"/>
    <xf numFmtId="189" fontId="2" fillId="0" borderId="0" xfId="1" applyNumberFormat="1" applyFont="1"/>
    <xf numFmtId="10" fontId="2" fillId="0" borderId="0" xfId="2" applyNumberFormat="1" applyFont="1"/>
    <xf numFmtId="0" fontId="3" fillId="0" borderId="0" xfId="0" applyFont="1"/>
    <xf numFmtId="10" fontId="3" fillId="0" borderId="0" xfId="0" applyNumberFormat="1" applyFont="1"/>
    <xf numFmtId="0" fontId="0" fillId="4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5E58-40C5-4339-90FA-DF6537EACB01}">
  <dimension ref="A1:BG70"/>
  <sheetViews>
    <sheetView topLeftCell="A21" zoomScale="85" zoomScaleNormal="85" workbookViewId="0">
      <selection activeCell="G23" sqref="G23"/>
    </sheetView>
  </sheetViews>
  <sheetFormatPr defaultRowHeight="14" x14ac:dyDescent="0.3"/>
  <cols>
    <col min="1" max="1" width="16.5" bestFit="1" customWidth="1"/>
    <col min="10" max="10" width="9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4</v>
      </c>
      <c r="K1" t="s">
        <v>5</v>
      </c>
      <c r="L1" t="s">
        <v>8</v>
      </c>
      <c r="M1" t="s">
        <v>9</v>
      </c>
      <c r="N1" t="s">
        <v>10</v>
      </c>
      <c r="O1" t="s">
        <v>11</v>
      </c>
      <c r="P1" t="s">
        <v>10</v>
      </c>
      <c r="Q1" t="s">
        <v>12</v>
      </c>
      <c r="R1" t="s">
        <v>4</v>
      </c>
      <c r="S1" t="s">
        <v>10</v>
      </c>
      <c r="T1" t="s">
        <v>13</v>
      </c>
      <c r="U1" t="s">
        <v>9</v>
      </c>
    </row>
    <row r="2" spans="1:21" x14ac:dyDescent="0.3">
      <c r="A2" t="s">
        <v>14</v>
      </c>
      <c r="B2">
        <v>72565926.709999993</v>
      </c>
      <c r="C2">
        <v>72.565926709999999</v>
      </c>
      <c r="D2">
        <v>83.063882930000005</v>
      </c>
      <c r="E2" s="1">
        <v>-0.12638412568368401</v>
      </c>
      <c r="F2">
        <v>657856426.01999903</v>
      </c>
      <c r="G2">
        <v>657.85642601999905</v>
      </c>
      <c r="H2">
        <v>657856426.01999903</v>
      </c>
      <c r="I2">
        <v>759375919.82000005</v>
      </c>
      <c r="J2" s="1">
        <v>-0.133688060353644</v>
      </c>
      <c r="K2">
        <v>657856426.01999903</v>
      </c>
      <c r="L2">
        <v>697399639.79318404</v>
      </c>
      <c r="M2" s="1">
        <v>-5.67009380516907E-2</v>
      </c>
      <c r="N2">
        <v>3238319971.3800001</v>
      </c>
      <c r="O2">
        <v>3238.31997138</v>
      </c>
      <c r="P2">
        <v>3238319971.3800001</v>
      </c>
      <c r="Q2">
        <v>3911338256.2800002</v>
      </c>
      <c r="R2" s="1">
        <v>-0.172068545546887</v>
      </c>
      <c r="S2">
        <v>3238319971.3800001</v>
      </c>
      <c r="T2">
        <v>3277863185.1531801</v>
      </c>
      <c r="U2" s="1">
        <v>-1.20637169825429E-2</v>
      </c>
    </row>
    <row r="3" spans="1:21" x14ac:dyDescent="0.3">
      <c r="A3" t="s">
        <v>15</v>
      </c>
      <c r="B3">
        <v>11948297.99</v>
      </c>
      <c r="C3">
        <v>11.94829799</v>
      </c>
      <c r="D3">
        <v>16.388482830000001</v>
      </c>
      <c r="E3" s="1">
        <v>-0.27093324538083502</v>
      </c>
      <c r="F3">
        <v>120794182.81999899</v>
      </c>
      <c r="G3">
        <v>120.79418281999899</v>
      </c>
      <c r="H3">
        <v>120794182.81999899</v>
      </c>
      <c r="I3">
        <v>146494169.47</v>
      </c>
      <c r="J3" s="1">
        <v>-0.175433512084337</v>
      </c>
      <c r="K3">
        <v>120794182.81999899</v>
      </c>
      <c r="L3">
        <v>131823525.46705</v>
      </c>
      <c r="M3" s="1">
        <v>-8.3667483538870102E-2</v>
      </c>
      <c r="N3">
        <v>652458122.13000095</v>
      </c>
      <c r="O3">
        <v>652.45812213000102</v>
      </c>
      <c r="P3">
        <v>652458122.13000095</v>
      </c>
      <c r="Q3">
        <v>796540211.23000002</v>
      </c>
      <c r="R3" s="1">
        <v>-0.18088489076717101</v>
      </c>
      <c r="S3">
        <v>652458122.13000095</v>
      </c>
      <c r="T3">
        <v>663487464.77705097</v>
      </c>
      <c r="U3" s="1">
        <v>-1.6623287149451101E-2</v>
      </c>
    </row>
    <row r="4" spans="1:21" x14ac:dyDescent="0.3">
      <c r="A4" t="s">
        <v>16</v>
      </c>
      <c r="B4">
        <v>11896714.289999999</v>
      </c>
      <c r="C4">
        <v>11.89671429</v>
      </c>
      <c r="D4">
        <v>16.341736829999999</v>
      </c>
      <c r="E4" s="1">
        <v>-0.27200429099065299</v>
      </c>
      <c r="F4">
        <v>120539381.67999899</v>
      </c>
      <c r="G4">
        <v>120.539381679999</v>
      </c>
      <c r="H4">
        <v>120539381.67999899</v>
      </c>
      <c r="I4">
        <v>146244865.53</v>
      </c>
      <c r="J4" s="1">
        <v>-0.175770162985497</v>
      </c>
      <c r="K4">
        <v>120539381.67999899</v>
      </c>
      <c r="L4">
        <v>131744260.04098</v>
      </c>
      <c r="M4" s="1">
        <v>-8.5050220461184198E-2</v>
      </c>
      <c r="N4">
        <v>650856372.76000094</v>
      </c>
      <c r="O4">
        <v>650.85637276000102</v>
      </c>
      <c r="P4">
        <v>650856372.76000094</v>
      </c>
      <c r="Q4">
        <v>795221503.57000005</v>
      </c>
      <c r="R4" s="1">
        <v>-0.18154077846473901</v>
      </c>
      <c r="S4">
        <v>650856372.76000094</v>
      </c>
      <c r="T4">
        <v>662061251.12098205</v>
      </c>
      <c r="U4" s="1">
        <v>-1.6924232224751399E-2</v>
      </c>
    </row>
    <row r="5" spans="1:21" x14ac:dyDescent="0.3">
      <c r="A5" t="s">
        <v>17</v>
      </c>
      <c r="B5">
        <v>7026692.2699999996</v>
      </c>
      <c r="C5">
        <v>7.0266922699999999</v>
      </c>
      <c r="D5">
        <v>8.75364042</v>
      </c>
      <c r="E5" s="1">
        <v>-0.197283423483369</v>
      </c>
      <c r="F5">
        <v>71490082.739999697</v>
      </c>
      <c r="G5">
        <v>71.490082739999707</v>
      </c>
      <c r="H5">
        <v>71490082.739999697</v>
      </c>
      <c r="I5">
        <v>82431410.359999999</v>
      </c>
      <c r="J5" s="1">
        <v>-0.132732505391046</v>
      </c>
      <c r="K5">
        <v>71490082.739999697</v>
      </c>
      <c r="L5">
        <v>74218143.047896102</v>
      </c>
      <c r="M5" s="1">
        <v>-3.6757323692885299E-2</v>
      </c>
      <c r="N5">
        <v>393277695.36000198</v>
      </c>
      <c r="O5">
        <v>393.27769536000199</v>
      </c>
      <c r="P5">
        <v>393277695.36000198</v>
      </c>
      <c r="Q5">
        <v>462825808.17000002</v>
      </c>
      <c r="R5" s="1">
        <v>-0.15026844134943301</v>
      </c>
      <c r="S5">
        <v>393277695.36000198</v>
      </c>
      <c r="T5">
        <v>396005755.667898</v>
      </c>
      <c r="U5" s="1">
        <v>-6.8889410541401403E-3</v>
      </c>
    </row>
    <row r="6" spans="1:21" x14ac:dyDescent="0.3">
      <c r="A6" t="s">
        <v>18</v>
      </c>
      <c r="B6">
        <v>4870022.0199999996</v>
      </c>
      <c r="C6">
        <v>4.8700220200000004</v>
      </c>
      <c r="D6">
        <v>7.5880964100000003</v>
      </c>
      <c r="E6" s="1">
        <v>-0.35820240586531998</v>
      </c>
      <c r="F6">
        <v>49049298.939999901</v>
      </c>
      <c r="G6">
        <v>49.0492989399999</v>
      </c>
      <c r="H6">
        <v>49049298.939999901</v>
      </c>
      <c r="I6">
        <v>63813455.170000002</v>
      </c>
      <c r="J6" s="1">
        <v>-0.23136431322623199</v>
      </c>
      <c r="K6">
        <v>49049298.939999901</v>
      </c>
      <c r="L6">
        <v>57526116.993084602</v>
      </c>
      <c r="M6" s="1">
        <v>-0.147355992307001</v>
      </c>
      <c r="N6">
        <v>257578677.39999899</v>
      </c>
      <c r="O6">
        <v>257.57867739999898</v>
      </c>
      <c r="P6">
        <v>257578677.39999899</v>
      </c>
      <c r="Q6">
        <v>332395695.39999998</v>
      </c>
      <c r="R6" s="1">
        <v>-0.22508419644233499</v>
      </c>
      <c r="S6">
        <v>257578677.39999899</v>
      </c>
      <c r="T6">
        <v>266055495.45308399</v>
      </c>
      <c r="U6" s="1">
        <v>-3.1861089877691998E-2</v>
      </c>
    </row>
    <row r="7" spans="1:21" x14ac:dyDescent="0.3">
      <c r="A7" t="s">
        <v>19</v>
      </c>
      <c r="B7">
        <v>51583.7</v>
      </c>
      <c r="C7">
        <v>5.1583700000000003E-2</v>
      </c>
      <c r="D7">
        <v>4.6746000000000003E-2</v>
      </c>
      <c r="E7" s="1">
        <v>0.10348906858340801</v>
      </c>
      <c r="F7">
        <v>254801.14</v>
      </c>
      <c r="G7">
        <v>0.25480113999999998</v>
      </c>
      <c r="H7">
        <v>254801.14</v>
      </c>
      <c r="I7">
        <v>249303.94</v>
      </c>
      <c r="J7" s="1">
        <v>2.20501930294403E-2</v>
      </c>
      <c r="K7">
        <v>254801.14</v>
      </c>
      <c r="L7">
        <v>79265.4260692307</v>
      </c>
      <c r="M7" s="1">
        <v>2.2145306300057599</v>
      </c>
      <c r="N7">
        <v>1601749.37</v>
      </c>
      <c r="O7">
        <v>1.6017493700000001</v>
      </c>
      <c r="P7">
        <v>1601749.37</v>
      </c>
      <c r="Q7">
        <v>1318707.6599999999</v>
      </c>
      <c r="R7" s="1">
        <v>0.21463567596172201</v>
      </c>
      <c r="S7">
        <v>1601749.37</v>
      </c>
      <c r="T7">
        <v>1426213.6560692301</v>
      </c>
      <c r="U7" s="1">
        <v>0.123078132917729</v>
      </c>
    </row>
    <row r="8" spans="1:21" x14ac:dyDescent="0.3">
      <c r="A8" t="s">
        <v>20</v>
      </c>
      <c r="B8">
        <v>9503305.3099999893</v>
      </c>
      <c r="C8">
        <v>9.5033053099999893</v>
      </c>
      <c r="D8">
        <v>8.7331285899999997</v>
      </c>
      <c r="E8" s="1">
        <v>8.8190241568399705E-2</v>
      </c>
      <c r="F8">
        <v>71521578.299999997</v>
      </c>
      <c r="G8">
        <v>71.521578300000002</v>
      </c>
      <c r="H8">
        <v>71521578.299999997</v>
      </c>
      <c r="I8">
        <v>85216665.329999998</v>
      </c>
      <c r="J8" s="1">
        <v>-0.160709023017575</v>
      </c>
      <c r="K8">
        <v>71521578.299999997</v>
      </c>
      <c r="L8">
        <v>78425255.371169195</v>
      </c>
      <c r="M8" s="1">
        <v>-8.8028748373156704E-2</v>
      </c>
      <c r="N8">
        <v>330533783.17999798</v>
      </c>
      <c r="O8">
        <v>330.53378317999801</v>
      </c>
      <c r="P8">
        <v>330533783.17999798</v>
      </c>
      <c r="Q8">
        <v>375058318.31</v>
      </c>
      <c r="R8" s="1">
        <v>-0.118713631870977</v>
      </c>
      <c r="S8">
        <v>330533783.17999798</v>
      </c>
      <c r="T8">
        <v>337437460.25116801</v>
      </c>
      <c r="U8" s="1">
        <v>-2.0459130607581501E-2</v>
      </c>
    </row>
    <row r="9" spans="1:21" x14ac:dyDescent="0.3">
      <c r="A9" t="s">
        <v>21</v>
      </c>
      <c r="B9">
        <v>9497183.8099999893</v>
      </c>
      <c r="C9">
        <v>9.4971838099999903</v>
      </c>
      <c r="D9">
        <v>8.6600026000000003</v>
      </c>
      <c r="E9" s="1">
        <v>9.6672166126139297E-2</v>
      </c>
      <c r="F9">
        <v>71320886.200000003</v>
      </c>
      <c r="G9">
        <v>71.320886200000004</v>
      </c>
      <c r="H9">
        <v>71320886.200000003</v>
      </c>
      <c r="I9">
        <v>85070296.039999902</v>
      </c>
      <c r="J9" s="1">
        <v>-0.16162409771719799</v>
      </c>
      <c r="K9">
        <v>71320886.200000003</v>
      </c>
      <c r="L9">
        <v>78059021.534796104</v>
      </c>
      <c r="M9" s="1">
        <v>-8.6321032499651396E-2</v>
      </c>
      <c r="N9">
        <v>329947913.55999798</v>
      </c>
      <c r="O9">
        <v>329.94791355999803</v>
      </c>
      <c r="P9">
        <v>329947913.55999798</v>
      </c>
      <c r="Q9">
        <v>374564293.81999999</v>
      </c>
      <c r="R9" s="1">
        <v>-0.11911541221663199</v>
      </c>
      <c r="S9">
        <v>329947913.55999798</v>
      </c>
      <c r="T9">
        <v>336686048.89479399</v>
      </c>
      <c r="U9" s="1">
        <v>-2.0013111196364598E-2</v>
      </c>
    </row>
    <row r="10" spans="1:21" x14ac:dyDescent="0.3">
      <c r="A10" t="s">
        <v>17</v>
      </c>
      <c r="B10">
        <v>3231086.52999999</v>
      </c>
      <c r="C10">
        <v>3.23108652999999</v>
      </c>
      <c r="D10">
        <v>3.78222893</v>
      </c>
      <c r="E10" s="1">
        <v>-0.14571894250726899</v>
      </c>
      <c r="F10">
        <v>29486929.850000001</v>
      </c>
      <c r="G10">
        <v>29.486929849999999</v>
      </c>
      <c r="H10">
        <v>29486929.850000001</v>
      </c>
      <c r="I10">
        <v>34681748.960000001</v>
      </c>
      <c r="J10" s="1">
        <v>-0.149785384698776</v>
      </c>
      <c r="K10">
        <v>29486929.850000001</v>
      </c>
      <c r="L10">
        <v>32164301.5363423</v>
      </c>
      <c r="M10" s="1">
        <v>-8.3240473396169995E-2</v>
      </c>
      <c r="N10">
        <v>149119965.78999799</v>
      </c>
      <c r="O10">
        <v>149.11996578999799</v>
      </c>
      <c r="P10">
        <v>149119965.78999799</v>
      </c>
      <c r="Q10">
        <v>168690331.43000001</v>
      </c>
      <c r="R10" s="1">
        <v>-0.116013558537125</v>
      </c>
      <c r="S10">
        <v>149119965.78999799</v>
      </c>
      <c r="T10">
        <v>151797337.47634101</v>
      </c>
      <c r="U10" s="1">
        <v>-1.76378040014014E-2</v>
      </c>
    </row>
    <row r="11" spans="1:21" x14ac:dyDescent="0.3">
      <c r="A11" t="s">
        <v>18</v>
      </c>
      <c r="B11">
        <v>6266097.2800000003</v>
      </c>
      <c r="C11">
        <v>6.2660972800000003</v>
      </c>
      <c r="D11">
        <v>4.8777736699999998</v>
      </c>
      <c r="E11" s="1">
        <v>0.28462239208405099</v>
      </c>
      <c r="F11">
        <v>41833956.350000001</v>
      </c>
      <c r="G11">
        <v>41.833956350000001</v>
      </c>
      <c r="H11">
        <v>41833956.350000001</v>
      </c>
      <c r="I11">
        <v>50388547.079999998</v>
      </c>
      <c r="J11" s="1">
        <v>-0.16977252224435399</v>
      </c>
      <c r="K11">
        <v>41833956.350000001</v>
      </c>
      <c r="L11">
        <v>45894719.998453803</v>
      </c>
      <c r="M11" s="1">
        <v>-8.8479974354144397E-2</v>
      </c>
      <c r="N11">
        <v>180827947.77000001</v>
      </c>
      <c r="O11">
        <v>180.82794777000001</v>
      </c>
      <c r="P11">
        <v>180827947.77000001</v>
      </c>
      <c r="Q11">
        <v>205873962.38999999</v>
      </c>
      <c r="R11" s="1">
        <v>-0.12165702903485</v>
      </c>
      <c r="S11">
        <v>180827947.77000001</v>
      </c>
      <c r="T11">
        <v>184888711.41845301</v>
      </c>
      <c r="U11" s="1">
        <v>-2.1963286007565901E-2</v>
      </c>
    </row>
    <row r="12" spans="1:21" x14ac:dyDescent="0.3">
      <c r="A12" t="s">
        <v>22</v>
      </c>
      <c r="B12">
        <v>6121.5</v>
      </c>
      <c r="C12">
        <v>6.1215000000000002E-3</v>
      </c>
      <c r="D12">
        <v>7.3125990000000002E-2</v>
      </c>
      <c r="E12" s="1">
        <v>-0.91628831281463596</v>
      </c>
      <c r="F12">
        <v>200692.1</v>
      </c>
      <c r="G12">
        <v>0.20069210000000001</v>
      </c>
      <c r="H12">
        <v>200692.1</v>
      </c>
      <c r="I12">
        <v>146369.29</v>
      </c>
      <c r="J12" s="1">
        <v>0.37113529757505798</v>
      </c>
      <c r="K12">
        <v>200692.1</v>
      </c>
      <c r="L12">
        <v>366233.83637307602</v>
      </c>
      <c r="M12" s="1">
        <v>-0.45201103757229499</v>
      </c>
      <c r="N12">
        <v>585869.62</v>
      </c>
      <c r="O12">
        <v>0.58586961999999998</v>
      </c>
      <c r="P12">
        <v>585869.62</v>
      </c>
      <c r="Q12">
        <v>494024.49</v>
      </c>
      <c r="R12" s="1">
        <v>0.18591209921597199</v>
      </c>
      <c r="S12">
        <v>585869.62</v>
      </c>
      <c r="T12">
        <v>751411.35637307703</v>
      </c>
      <c r="U12" s="1">
        <v>-0.22030773819032501</v>
      </c>
    </row>
    <row r="13" spans="1:21" x14ac:dyDescent="0.3">
      <c r="A13" t="s">
        <v>23</v>
      </c>
      <c r="B13">
        <v>8952032.6799999997</v>
      </c>
      <c r="C13">
        <v>8.9520326800000003</v>
      </c>
      <c r="D13">
        <v>7.9662621700000003</v>
      </c>
      <c r="E13" s="1">
        <v>0.12374316699145201</v>
      </c>
      <c r="F13">
        <v>76019710.299999997</v>
      </c>
      <c r="G13">
        <v>76.0197103</v>
      </c>
      <c r="H13">
        <v>76019710.299999997</v>
      </c>
      <c r="I13">
        <v>74744029.439999998</v>
      </c>
      <c r="J13" s="1">
        <v>1.7067327913115299E-2</v>
      </c>
      <c r="K13">
        <v>76019710.299999997</v>
      </c>
      <c r="L13">
        <v>71578675.081569195</v>
      </c>
      <c r="M13" s="1">
        <v>6.2044110391396699E-2</v>
      </c>
      <c r="N13">
        <v>324960976.67999899</v>
      </c>
      <c r="O13">
        <v>324.96097667999902</v>
      </c>
      <c r="P13">
        <v>324960976.67999899</v>
      </c>
      <c r="Q13">
        <v>388294821.36000001</v>
      </c>
      <c r="R13" s="1">
        <v>-0.16310762131252199</v>
      </c>
      <c r="S13">
        <v>324960976.67999899</v>
      </c>
      <c r="T13">
        <v>320519941.46156901</v>
      </c>
      <c r="U13" s="1">
        <v>1.3855722043937899E-2</v>
      </c>
    </row>
    <row r="14" spans="1:21" x14ac:dyDescent="0.3">
      <c r="A14" t="s">
        <v>24</v>
      </c>
      <c r="B14">
        <v>8886299.0999999996</v>
      </c>
      <c r="C14">
        <v>8.8862991000000005</v>
      </c>
      <c r="D14">
        <v>7.9328046700000003</v>
      </c>
      <c r="E14" s="1">
        <v>0.120196383204277</v>
      </c>
      <c r="F14">
        <v>74998629.329999998</v>
      </c>
      <c r="G14">
        <v>74.99862933</v>
      </c>
      <c r="H14">
        <v>74998629.329999998</v>
      </c>
      <c r="I14">
        <v>74487752.039999902</v>
      </c>
      <c r="J14" s="1">
        <v>6.8585408474361601E-3</v>
      </c>
      <c r="K14">
        <v>74998629.329999998</v>
      </c>
      <c r="L14">
        <v>70708210.084161505</v>
      </c>
      <c r="M14" s="1">
        <v>6.0677808711771301E-2</v>
      </c>
      <c r="N14">
        <v>322153961.11999899</v>
      </c>
      <c r="O14">
        <v>322.153961119999</v>
      </c>
      <c r="P14">
        <v>322153961.11999899</v>
      </c>
      <c r="Q14">
        <v>386633085.92000002</v>
      </c>
      <c r="R14" s="1">
        <v>-0.16677084074833101</v>
      </c>
      <c r="S14">
        <v>322153961.11999899</v>
      </c>
      <c r="T14">
        <v>317863541.87416101</v>
      </c>
      <c r="U14" s="1">
        <v>1.3497676457456E-2</v>
      </c>
    </row>
    <row r="15" spans="1:21" x14ac:dyDescent="0.3">
      <c r="A15" t="s">
        <v>17</v>
      </c>
      <c r="B15">
        <v>2770545.76</v>
      </c>
      <c r="C15">
        <v>2.7705457600000001</v>
      </c>
      <c r="D15">
        <v>2.8757926999999999</v>
      </c>
      <c r="E15" s="1">
        <v>-3.6597540566815003E-2</v>
      </c>
      <c r="F15">
        <v>27123062.929999899</v>
      </c>
      <c r="G15">
        <v>27.1230629299999</v>
      </c>
      <c r="H15">
        <v>27123062.929999899</v>
      </c>
      <c r="I15">
        <v>28537544.460000001</v>
      </c>
      <c r="J15" s="1">
        <v>-4.95656356132054E-2</v>
      </c>
      <c r="K15">
        <v>27123062.929999899</v>
      </c>
      <c r="L15">
        <v>25560888.462423</v>
      </c>
      <c r="M15" s="1">
        <v>6.1115812538107203E-2</v>
      </c>
      <c r="N15">
        <v>131723181.36999901</v>
      </c>
      <c r="O15">
        <v>131.723181369999</v>
      </c>
      <c r="P15">
        <v>131723181.36999901</v>
      </c>
      <c r="Q15">
        <v>152703697.72999999</v>
      </c>
      <c r="R15" s="1">
        <v>-0.137393636643277</v>
      </c>
      <c r="S15">
        <v>131723181.36999901</v>
      </c>
      <c r="T15">
        <v>130161006.902422</v>
      </c>
      <c r="U15" s="1">
        <v>1.20018621917087E-2</v>
      </c>
    </row>
    <row r="16" spans="1:21" x14ac:dyDescent="0.3">
      <c r="A16" t="s">
        <v>18</v>
      </c>
      <c r="B16">
        <v>6115753.3399999999</v>
      </c>
      <c r="C16">
        <v>6.1157533399999897</v>
      </c>
      <c r="D16">
        <v>5.0570119699999996</v>
      </c>
      <c r="E16" s="1">
        <v>0.20936105674276201</v>
      </c>
      <c r="F16">
        <v>47875566.399999999</v>
      </c>
      <c r="G16">
        <v>47.875566399999997</v>
      </c>
      <c r="H16">
        <v>47875566.399999999</v>
      </c>
      <c r="I16">
        <v>45950207.579999998</v>
      </c>
      <c r="J16" s="1">
        <v>4.19009819846397E-2</v>
      </c>
      <c r="K16">
        <v>47875566.399999999</v>
      </c>
      <c r="L16">
        <v>45147321.621738397</v>
      </c>
      <c r="M16" s="1">
        <v>6.0429825740712803E-2</v>
      </c>
      <c r="N16">
        <v>190430779.75</v>
      </c>
      <c r="O16">
        <v>190.43077975</v>
      </c>
      <c r="P16">
        <v>190430779.75</v>
      </c>
      <c r="Q16">
        <v>233929388.19</v>
      </c>
      <c r="R16" s="1">
        <v>-0.18594760058394</v>
      </c>
      <c r="S16">
        <v>190430779.75</v>
      </c>
      <c r="T16">
        <v>187702534.97173801</v>
      </c>
      <c r="U16" s="1">
        <v>1.45349383729545E-2</v>
      </c>
    </row>
    <row r="17" spans="1:21" x14ac:dyDescent="0.3">
      <c r="A17" t="s">
        <v>25</v>
      </c>
      <c r="B17">
        <v>65733.58</v>
      </c>
      <c r="C17">
        <v>6.573358E-2</v>
      </c>
      <c r="D17">
        <v>3.3457500000000001E-2</v>
      </c>
      <c r="E17" s="1">
        <v>0.96468893372188502</v>
      </c>
      <c r="F17">
        <v>1021080.97</v>
      </c>
      <c r="G17">
        <v>1.0210809700000001</v>
      </c>
      <c r="H17">
        <v>1021080.97</v>
      </c>
      <c r="I17">
        <v>256277.4</v>
      </c>
      <c r="J17" s="1">
        <v>2.9842801979417599</v>
      </c>
      <c r="K17">
        <v>1021080.97</v>
      </c>
      <c r="L17">
        <v>870464.99740769202</v>
      </c>
      <c r="M17" s="1">
        <v>0.17302932690097</v>
      </c>
      <c r="N17">
        <v>2807015.56</v>
      </c>
      <c r="O17">
        <v>2.80701556</v>
      </c>
      <c r="P17">
        <v>2807015.56</v>
      </c>
      <c r="Q17">
        <v>1661735.44</v>
      </c>
      <c r="R17" s="1">
        <v>0.68920725431480201</v>
      </c>
      <c r="S17">
        <v>2807015.56</v>
      </c>
      <c r="T17">
        <v>2656399.58740769</v>
      </c>
      <c r="U17" s="1">
        <v>5.6699290764191702E-2</v>
      </c>
    </row>
    <row r="18" spans="1:21" x14ac:dyDescent="0.3">
      <c r="A18" t="s">
        <v>26</v>
      </c>
      <c r="B18">
        <v>10088518.08</v>
      </c>
      <c r="C18">
        <v>10.08851808</v>
      </c>
      <c r="D18">
        <v>11.978942890000001</v>
      </c>
      <c r="E18" s="1">
        <v>-0.157812323454528</v>
      </c>
      <c r="F18">
        <v>92368976.069999903</v>
      </c>
      <c r="G18">
        <v>92.368976069999903</v>
      </c>
      <c r="H18">
        <v>92368976.069999903</v>
      </c>
      <c r="I18">
        <v>99881181.349999905</v>
      </c>
      <c r="J18" s="1">
        <v>-7.5211417991503604E-2</v>
      </c>
      <c r="K18">
        <v>92368976.069999903</v>
      </c>
      <c r="L18">
        <v>98939970.848276898</v>
      </c>
      <c r="M18" s="1">
        <v>-6.6413955067295305E-2</v>
      </c>
      <c r="N18">
        <v>399099825.57999903</v>
      </c>
      <c r="O18">
        <v>399.09982557999899</v>
      </c>
      <c r="P18">
        <v>399099825.57999903</v>
      </c>
      <c r="Q18">
        <v>496609158.83999997</v>
      </c>
      <c r="R18" s="1">
        <v>-0.19635025154946101</v>
      </c>
      <c r="S18">
        <v>399099825.57999903</v>
      </c>
      <c r="T18">
        <v>405670820.35827601</v>
      </c>
      <c r="U18" s="1">
        <v>-1.6197849212998799E-2</v>
      </c>
    </row>
    <row r="19" spans="1:21" x14ac:dyDescent="0.3">
      <c r="A19" t="s">
        <v>27</v>
      </c>
      <c r="B19">
        <v>10072083.48</v>
      </c>
      <c r="C19">
        <v>10.07208348</v>
      </c>
      <c r="D19">
        <v>11.73490659</v>
      </c>
      <c r="E19" s="1">
        <v>-0.141698879087541</v>
      </c>
      <c r="F19">
        <v>91576476.249999896</v>
      </c>
      <c r="G19">
        <v>91.576476249999899</v>
      </c>
      <c r="H19">
        <v>91576476.249999896</v>
      </c>
      <c r="I19">
        <v>99060946.849999905</v>
      </c>
      <c r="J19" s="1">
        <v>-7.5554200095958604E-2</v>
      </c>
      <c r="K19">
        <v>91576476.249999896</v>
      </c>
      <c r="L19">
        <v>98098690.550549999</v>
      </c>
      <c r="M19" s="1">
        <v>-6.6486252405063007E-2</v>
      </c>
      <c r="N19">
        <v>395464294.13999897</v>
      </c>
      <c r="O19">
        <v>395.46429413999903</v>
      </c>
      <c r="P19">
        <v>395464294.13999897</v>
      </c>
      <c r="Q19">
        <v>493395070.23000002</v>
      </c>
      <c r="R19" s="1">
        <v>-0.19848349122002501</v>
      </c>
      <c r="S19">
        <v>395464294.13999897</v>
      </c>
      <c r="T19">
        <v>401986508.44054902</v>
      </c>
      <c r="U19" s="1">
        <v>-1.6224958210294099E-2</v>
      </c>
    </row>
    <row r="20" spans="1:21" x14ac:dyDescent="0.3">
      <c r="A20" t="s">
        <v>17</v>
      </c>
      <c r="B20">
        <v>3563916.57</v>
      </c>
      <c r="C20">
        <v>3.56391657</v>
      </c>
      <c r="D20">
        <v>3.70698455</v>
      </c>
      <c r="E20" s="1">
        <v>-3.8594166787126002E-2</v>
      </c>
      <c r="F20">
        <v>32794007.5499999</v>
      </c>
      <c r="G20">
        <v>32.794007549999897</v>
      </c>
      <c r="H20">
        <v>32794007.5499999</v>
      </c>
      <c r="I20">
        <v>36435524.369999997</v>
      </c>
      <c r="J20" s="1">
        <v>-9.9944130981091395E-2</v>
      </c>
      <c r="K20">
        <v>32794007.5499999</v>
      </c>
      <c r="L20">
        <v>33452588.4975807</v>
      </c>
      <c r="M20" s="1">
        <v>-1.96869951522117E-2</v>
      </c>
      <c r="N20">
        <v>162557162.33999899</v>
      </c>
      <c r="O20">
        <v>162.557162339999</v>
      </c>
      <c r="P20">
        <v>162557162.33999899</v>
      </c>
      <c r="Q20">
        <v>190244828.47</v>
      </c>
      <c r="R20" s="1">
        <v>-0.14553702380596401</v>
      </c>
      <c r="S20">
        <v>162557162.33999899</v>
      </c>
      <c r="T20">
        <v>163215743.28758001</v>
      </c>
      <c r="U20" s="1">
        <v>-4.0350332285067399E-3</v>
      </c>
    </row>
    <row r="21" spans="1:21" x14ac:dyDescent="0.3">
      <c r="A21" t="s">
        <v>18</v>
      </c>
      <c r="B21">
        <v>6508166.9100000001</v>
      </c>
      <c r="C21">
        <v>6.5081669099999999</v>
      </c>
      <c r="D21">
        <v>8.02792204</v>
      </c>
      <c r="E21" s="1">
        <v>-0.18930865576766301</v>
      </c>
      <c r="F21">
        <v>58782468.700000003</v>
      </c>
      <c r="G21">
        <v>58.782468700000003</v>
      </c>
      <c r="H21">
        <v>58782468.700000003</v>
      </c>
      <c r="I21">
        <v>62625422.479999997</v>
      </c>
      <c r="J21" s="1">
        <v>-6.1364117443315797E-2</v>
      </c>
      <c r="K21">
        <v>58782468.700000003</v>
      </c>
      <c r="L21">
        <v>64646102.052969202</v>
      </c>
      <c r="M21" s="1">
        <v>-9.0703587173202399E-2</v>
      </c>
      <c r="N21">
        <v>232907131.799999</v>
      </c>
      <c r="O21">
        <v>232.90713179999901</v>
      </c>
      <c r="P21">
        <v>232907131.799999</v>
      </c>
      <c r="Q21">
        <v>303150241.75999999</v>
      </c>
      <c r="R21" s="1">
        <v>-0.231710552339294</v>
      </c>
      <c r="S21">
        <v>232907131.799999</v>
      </c>
      <c r="T21">
        <v>238770765.152969</v>
      </c>
      <c r="U21" s="1">
        <v>-2.4557584967375201E-2</v>
      </c>
    </row>
    <row r="22" spans="1:21" x14ac:dyDescent="0.3">
      <c r="A22" t="s">
        <v>28</v>
      </c>
      <c r="B22">
        <v>16434.599999999999</v>
      </c>
      <c r="C22">
        <v>1.6434600000000001E-2</v>
      </c>
      <c r="D22">
        <v>0.24403630000000001</v>
      </c>
      <c r="E22" s="1">
        <v>-0.93265510090097203</v>
      </c>
      <c r="F22">
        <v>792499.81999999902</v>
      </c>
      <c r="G22">
        <v>0.79249981999999997</v>
      </c>
      <c r="H22">
        <v>792499.81999999902</v>
      </c>
      <c r="I22">
        <v>820234.5</v>
      </c>
      <c r="J22" s="1">
        <v>-3.3813110762836898E-2</v>
      </c>
      <c r="K22">
        <v>792499.81999999902</v>
      </c>
      <c r="L22">
        <v>841280.29772692302</v>
      </c>
      <c r="M22" s="1">
        <v>-5.7983620748904501E-2</v>
      </c>
      <c r="N22">
        <v>3635531.4399999902</v>
      </c>
      <c r="O22">
        <v>3.6355314399999901</v>
      </c>
      <c r="P22">
        <v>3635531.4399999902</v>
      </c>
      <c r="Q22">
        <v>3214088.61</v>
      </c>
      <c r="R22" s="1">
        <v>0.13112358778434499</v>
      </c>
      <c r="S22">
        <v>3635531.4399999902</v>
      </c>
      <c r="T22">
        <v>3684311.91772692</v>
      </c>
      <c r="U22" s="1">
        <v>-1.3240051009855499E-2</v>
      </c>
    </row>
    <row r="23" spans="1:21" x14ac:dyDescent="0.3">
      <c r="A23" t="s">
        <v>29</v>
      </c>
      <c r="B23">
        <v>16927195.760000002</v>
      </c>
      <c r="C23">
        <v>16.92719576</v>
      </c>
      <c r="D23">
        <v>20.299845869999999</v>
      </c>
      <c r="E23" s="1">
        <v>-0.16614166095636401</v>
      </c>
      <c r="F23">
        <v>159287201.38999999</v>
      </c>
      <c r="G23">
        <v>159.28720139000001</v>
      </c>
      <c r="H23">
        <v>159287201.38999999</v>
      </c>
      <c r="I23">
        <v>186214628.87</v>
      </c>
      <c r="J23" s="1">
        <v>-0.14460425393752799</v>
      </c>
      <c r="K23">
        <v>159287201.38999999</v>
      </c>
      <c r="L23">
        <v>166980704.10639599</v>
      </c>
      <c r="M23" s="1">
        <v>-4.6074202151489801E-2</v>
      </c>
      <c r="N23">
        <v>855367070.13000298</v>
      </c>
      <c r="O23">
        <v>855.36707013000296</v>
      </c>
      <c r="P23">
        <v>855367070.13000298</v>
      </c>
      <c r="Q23">
        <v>1012691161.04</v>
      </c>
      <c r="R23" s="1">
        <v>-0.155352487473505</v>
      </c>
      <c r="S23">
        <v>855367070.13000298</v>
      </c>
      <c r="T23">
        <v>863060572.84639895</v>
      </c>
      <c r="U23" s="1">
        <v>-8.9142094523247794E-3</v>
      </c>
    </row>
    <row r="24" spans="1:21" x14ac:dyDescent="0.3">
      <c r="A24" t="s">
        <v>30</v>
      </c>
      <c r="B24">
        <v>16901495.760000002</v>
      </c>
      <c r="C24">
        <v>16.90149576</v>
      </c>
      <c r="D24">
        <v>20.27108917</v>
      </c>
      <c r="E24" s="1">
        <v>-0.16622655949769</v>
      </c>
      <c r="F24">
        <v>158846201.34999999</v>
      </c>
      <c r="G24">
        <v>158.84620135</v>
      </c>
      <c r="H24">
        <v>158846201.34999999</v>
      </c>
      <c r="I24">
        <v>186096529.13</v>
      </c>
      <c r="J24" s="1">
        <v>-0.14643114467204199</v>
      </c>
      <c r="K24">
        <v>158846201.34999999</v>
      </c>
      <c r="L24">
        <v>166657521.42589599</v>
      </c>
      <c r="M24" s="1">
        <v>-4.68704923070003E-2</v>
      </c>
      <c r="N24">
        <v>853411878.07000303</v>
      </c>
      <c r="O24">
        <v>853.41187807000301</v>
      </c>
      <c r="P24">
        <v>853411878.07000303</v>
      </c>
      <c r="Q24">
        <v>1011349055.72</v>
      </c>
      <c r="R24" s="1">
        <v>-0.15616485402021499</v>
      </c>
      <c r="S24">
        <v>853411878.07000303</v>
      </c>
      <c r="T24">
        <v>861223198.14589906</v>
      </c>
      <c r="U24" s="1">
        <v>-9.0700298049482299E-3</v>
      </c>
    </row>
    <row r="25" spans="1:21" x14ac:dyDescent="0.3">
      <c r="A25" t="s">
        <v>17</v>
      </c>
      <c r="B25">
        <v>7527595.73999999</v>
      </c>
      <c r="C25">
        <v>7.52759573999999</v>
      </c>
      <c r="D25">
        <v>8.3380004699999901</v>
      </c>
      <c r="E25" s="1">
        <v>-9.7194133403544894E-2</v>
      </c>
      <c r="F25">
        <v>70749024.589999899</v>
      </c>
      <c r="G25">
        <v>70.749024589999905</v>
      </c>
      <c r="H25">
        <v>70749024.589999899</v>
      </c>
      <c r="I25">
        <v>79156239.959999904</v>
      </c>
      <c r="J25" s="1">
        <v>-0.10621039319513501</v>
      </c>
      <c r="K25">
        <v>70749024.589999899</v>
      </c>
      <c r="L25">
        <v>69885380.194696099</v>
      </c>
      <c r="M25" s="1">
        <v>1.23580124039916E-2</v>
      </c>
      <c r="N25">
        <v>386947399.12000299</v>
      </c>
      <c r="O25">
        <v>386.94739912000301</v>
      </c>
      <c r="P25">
        <v>386947399.12000299</v>
      </c>
      <c r="Q25">
        <v>447660050.01999998</v>
      </c>
      <c r="R25" s="1">
        <v>-0.135622222481734</v>
      </c>
      <c r="S25">
        <v>386947399.12000299</v>
      </c>
      <c r="T25">
        <v>386083754.72469902</v>
      </c>
      <c r="U25" s="1">
        <v>2.2369353404148198E-3</v>
      </c>
    </row>
    <row r="26" spans="1:21" x14ac:dyDescent="0.3">
      <c r="A26" t="s">
        <v>18</v>
      </c>
      <c r="B26">
        <v>9373900.0199999996</v>
      </c>
      <c r="C26">
        <v>9.37390001999999</v>
      </c>
      <c r="D26">
        <v>11.933088700000001</v>
      </c>
      <c r="E26" s="1">
        <v>-0.21446154841704901</v>
      </c>
      <c r="F26">
        <v>88097176.760000005</v>
      </c>
      <c r="G26">
        <v>88.097176759999996</v>
      </c>
      <c r="H26">
        <v>88097176.760000005</v>
      </c>
      <c r="I26">
        <v>106940289.17</v>
      </c>
      <c r="J26" s="1">
        <v>-0.17620218307101801</v>
      </c>
      <c r="K26">
        <v>88097176.760000005</v>
      </c>
      <c r="L26">
        <v>96772141.231199905</v>
      </c>
      <c r="M26" s="1">
        <v>-8.9643200623973296E-2</v>
      </c>
      <c r="N26">
        <v>466464478.94999999</v>
      </c>
      <c r="O26">
        <v>466.46447895</v>
      </c>
      <c r="P26">
        <v>466464478.94999999</v>
      </c>
      <c r="Q26">
        <v>563689005.69999897</v>
      </c>
      <c r="R26" s="1">
        <v>-0.17247901904573101</v>
      </c>
      <c r="S26">
        <v>466464478.94999999</v>
      </c>
      <c r="T26">
        <v>475139443.42119998</v>
      </c>
      <c r="U26" s="1">
        <v>-1.8257723266956301E-2</v>
      </c>
    </row>
    <row r="27" spans="1:21" x14ac:dyDescent="0.3">
      <c r="A27" t="s">
        <v>31</v>
      </c>
      <c r="B27">
        <v>25700</v>
      </c>
      <c r="C27">
        <v>2.5700000000000001E-2</v>
      </c>
      <c r="D27">
        <v>2.87567E-2</v>
      </c>
      <c r="E27" s="1">
        <v>-0.106295228590206</v>
      </c>
      <c r="F27">
        <v>441000.04</v>
      </c>
      <c r="G27">
        <v>0.44100003999999998</v>
      </c>
      <c r="H27">
        <v>441000.04</v>
      </c>
      <c r="I27">
        <v>118099.74</v>
      </c>
      <c r="J27" s="1">
        <v>2.7341321835255501</v>
      </c>
      <c r="K27">
        <v>441000.04</v>
      </c>
      <c r="L27">
        <v>323182.68050000002</v>
      </c>
      <c r="M27" s="1">
        <v>0.36455344487434499</v>
      </c>
      <c r="N27">
        <v>1955192.06</v>
      </c>
      <c r="O27">
        <v>1.9551920599999999</v>
      </c>
      <c r="P27">
        <v>1955192.06</v>
      </c>
      <c r="Q27">
        <v>1342105.32</v>
      </c>
      <c r="R27" s="1">
        <v>0.45680970849590202</v>
      </c>
      <c r="S27">
        <v>1955192.06</v>
      </c>
      <c r="T27">
        <v>1837374.7005</v>
      </c>
      <c r="U27" s="1">
        <v>6.4122663421858697E-2</v>
      </c>
    </row>
    <row r="28" spans="1:21" x14ac:dyDescent="0.3">
      <c r="A28" t="s">
        <v>32</v>
      </c>
      <c r="B28">
        <v>15146576.890000001</v>
      </c>
      <c r="C28">
        <v>15.14657689</v>
      </c>
      <c r="D28">
        <v>17.674724560000001</v>
      </c>
      <c r="E28" s="1">
        <v>-0.14303745789179001</v>
      </c>
      <c r="F28">
        <v>137864777.13999999</v>
      </c>
      <c r="G28">
        <v>137.86477714</v>
      </c>
      <c r="H28">
        <v>137864777.13999999</v>
      </c>
      <c r="I28">
        <v>166720027.11000001</v>
      </c>
      <c r="J28" s="1">
        <v>-0.1730760873195</v>
      </c>
      <c r="K28">
        <v>137864777.13999999</v>
      </c>
      <c r="L28">
        <v>149651508.91872299</v>
      </c>
      <c r="M28" s="1">
        <v>-7.8761195686469401E-2</v>
      </c>
      <c r="N28">
        <v>675900193.68000305</v>
      </c>
      <c r="O28">
        <v>675.90019368000299</v>
      </c>
      <c r="P28">
        <v>675900193.68000305</v>
      </c>
      <c r="Q28">
        <v>841523737.48999906</v>
      </c>
      <c r="R28" s="1">
        <v>-0.196813870401326</v>
      </c>
      <c r="S28">
        <v>675900193.68000305</v>
      </c>
      <c r="T28">
        <v>687686925.45872605</v>
      </c>
      <c r="U28" s="1">
        <v>-1.7139676998891001E-2</v>
      </c>
    </row>
    <row r="29" spans="1:21" x14ac:dyDescent="0.3">
      <c r="A29" t="s">
        <v>33</v>
      </c>
      <c r="B29">
        <v>15146576.890000001</v>
      </c>
      <c r="C29">
        <v>15.14657689</v>
      </c>
      <c r="D29">
        <v>17.666855859999998</v>
      </c>
      <c r="E29" s="1">
        <v>-0.14265577247993599</v>
      </c>
      <c r="F29">
        <v>137671313.86000001</v>
      </c>
      <c r="G29">
        <v>137.67131386</v>
      </c>
      <c r="H29">
        <v>137671313.86000001</v>
      </c>
      <c r="I29">
        <v>166305880.69</v>
      </c>
      <c r="J29" s="1">
        <v>-0.17218012202091401</v>
      </c>
      <c r="K29">
        <v>137671313.86000001</v>
      </c>
      <c r="L29">
        <v>149300803.484561</v>
      </c>
      <c r="M29" s="1">
        <v>-7.7893014325029902E-2</v>
      </c>
      <c r="N29">
        <v>672435649.66000295</v>
      </c>
      <c r="O29">
        <v>672.43564966000304</v>
      </c>
      <c r="P29">
        <v>672435649.66000295</v>
      </c>
      <c r="Q29">
        <v>840256957.07999897</v>
      </c>
      <c r="R29" s="1">
        <v>-0.19972617424459899</v>
      </c>
      <c r="S29">
        <v>672435649.66000295</v>
      </c>
      <c r="T29">
        <v>684065139.28456402</v>
      </c>
      <c r="U29" s="1">
        <v>-1.7000558801643102E-2</v>
      </c>
    </row>
    <row r="30" spans="1:21" x14ac:dyDescent="0.3">
      <c r="A30" t="s">
        <v>17</v>
      </c>
      <c r="B30">
        <v>6470616.7999999896</v>
      </c>
      <c r="C30">
        <v>6.4706167999999904</v>
      </c>
      <c r="D30">
        <v>7.2481166699999999</v>
      </c>
      <c r="E30" s="1">
        <v>-0.107269226669332</v>
      </c>
      <c r="F30">
        <v>60644562.169999897</v>
      </c>
      <c r="G30">
        <v>60.644562169999901</v>
      </c>
      <c r="H30">
        <v>60644562.169999897</v>
      </c>
      <c r="I30">
        <v>70995640.700000003</v>
      </c>
      <c r="J30" s="1">
        <v>-0.14579879029107801</v>
      </c>
      <c r="K30">
        <v>60644562.169999897</v>
      </c>
      <c r="L30">
        <v>63458229.257734597</v>
      </c>
      <c r="M30" s="1">
        <v>-4.4338884344014402E-2</v>
      </c>
      <c r="N30">
        <v>316627690.24000299</v>
      </c>
      <c r="O30">
        <v>316.62769024000301</v>
      </c>
      <c r="P30">
        <v>316627690.24000299</v>
      </c>
      <c r="Q30">
        <v>373932590.95999998</v>
      </c>
      <c r="R30" s="1">
        <v>-0.15324928103452201</v>
      </c>
      <c r="S30">
        <v>316627690.24000299</v>
      </c>
      <c r="T30">
        <v>319441357.32773799</v>
      </c>
      <c r="U30" s="1">
        <v>-8.8080864396274505E-3</v>
      </c>
    </row>
    <row r="31" spans="1:21" x14ac:dyDescent="0.3">
      <c r="A31" t="s">
        <v>18</v>
      </c>
      <c r="B31">
        <v>8675960.0899999999</v>
      </c>
      <c r="C31">
        <v>8.6759600900000002</v>
      </c>
      <c r="D31">
        <v>10.41873919</v>
      </c>
      <c r="E31" s="1">
        <v>-0.16727351248726199</v>
      </c>
      <c r="F31">
        <v>77026751.690000102</v>
      </c>
      <c r="G31">
        <v>77.026751690000097</v>
      </c>
      <c r="H31">
        <v>77026751.690000102</v>
      </c>
      <c r="I31">
        <v>95310239.989999905</v>
      </c>
      <c r="J31" s="1">
        <v>-0.19183131111534399</v>
      </c>
      <c r="K31">
        <v>77026751.690000102</v>
      </c>
      <c r="L31">
        <v>85842574.226826906</v>
      </c>
      <c r="M31" s="1">
        <v>-0.102697555568781</v>
      </c>
      <c r="N31">
        <v>355807959.419999</v>
      </c>
      <c r="O31">
        <v>355.80795941999901</v>
      </c>
      <c r="P31">
        <v>355807959.419999</v>
      </c>
      <c r="Q31">
        <v>466324366.12</v>
      </c>
      <c r="R31" s="1">
        <v>-0.23699470739549799</v>
      </c>
      <c r="S31">
        <v>355807959.419999</v>
      </c>
      <c r="T31">
        <v>364623781.95682597</v>
      </c>
      <c r="U31" s="1">
        <v>-2.4177859407619798E-2</v>
      </c>
    </row>
    <row r="32" spans="1:21" x14ac:dyDescent="0.3">
      <c r="A32" t="s">
        <v>34</v>
      </c>
      <c r="B32">
        <v>0</v>
      </c>
      <c r="C32">
        <v>0</v>
      </c>
      <c r="D32">
        <v>7.8686999999999993E-3</v>
      </c>
      <c r="E32" s="1">
        <v>-1</v>
      </c>
      <c r="F32">
        <v>193463.28</v>
      </c>
      <c r="G32">
        <v>0.19346327999999999</v>
      </c>
      <c r="H32">
        <v>193463.28</v>
      </c>
      <c r="I32">
        <v>414146.42</v>
      </c>
      <c r="J32" s="1">
        <v>-0.53286260448659595</v>
      </c>
      <c r="K32">
        <v>193463.28</v>
      </c>
      <c r="L32">
        <v>350705.43416153803</v>
      </c>
      <c r="M32" s="1">
        <v>-0.44835961706002803</v>
      </c>
      <c r="N32">
        <v>3464544.02</v>
      </c>
      <c r="O32">
        <v>3.4645440199999999</v>
      </c>
      <c r="P32">
        <v>3464544.02</v>
      </c>
      <c r="Q32">
        <v>1266780.4099999999</v>
      </c>
      <c r="R32" s="1">
        <v>1.7349207428933899</v>
      </c>
      <c r="S32">
        <v>3464544.02</v>
      </c>
      <c r="T32">
        <v>3621786.1741615301</v>
      </c>
      <c r="U32" s="1">
        <v>-4.3415637091811801E-2</v>
      </c>
    </row>
    <row r="33" spans="1:59" x14ac:dyDescent="0.3">
      <c r="A33" t="s">
        <v>35</v>
      </c>
      <c r="B33">
        <v>0</v>
      </c>
      <c r="C33">
        <v>0</v>
      </c>
      <c r="D33">
        <v>2.2496019999999999E-2</v>
      </c>
      <c r="E33" s="1">
        <v>-1</v>
      </c>
      <c r="F33">
        <v>0</v>
      </c>
      <c r="G33">
        <v>0</v>
      </c>
      <c r="H33">
        <v>0</v>
      </c>
      <c r="I33">
        <v>105218.25</v>
      </c>
      <c r="J33" s="1">
        <v>-1</v>
      </c>
      <c r="K33">
        <v>0</v>
      </c>
      <c r="L33">
        <v>0</v>
      </c>
      <c r="M33" t="s">
        <v>36</v>
      </c>
      <c r="N33">
        <v>0</v>
      </c>
      <c r="O33">
        <v>0</v>
      </c>
      <c r="P33">
        <v>0</v>
      </c>
      <c r="Q33">
        <v>620848.01</v>
      </c>
      <c r="R33" s="1">
        <v>-1</v>
      </c>
      <c r="S33">
        <v>0</v>
      </c>
      <c r="T33">
        <v>0</v>
      </c>
      <c r="U33" t="s">
        <v>36</v>
      </c>
    </row>
    <row r="38" spans="1:59" s="22" customFormat="1" x14ac:dyDescent="0.3">
      <c r="A38" t="s">
        <v>0</v>
      </c>
      <c r="B38" t="s">
        <v>41</v>
      </c>
      <c r="C38" t="s">
        <v>42</v>
      </c>
      <c r="D38" t="s">
        <v>2</v>
      </c>
      <c r="E38" t="s">
        <v>41</v>
      </c>
      <c r="F38" t="s">
        <v>43</v>
      </c>
      <c r="G38" t="s">
        <v>44</v>
      </c>
      <c r="H38" t="s">
        <v>4</v>
      </c>
      <c r="I38" t="s">
        <v>45</v>
      </c>
      <c r="J38" t="s">
        <v>6</v>
      </c>
      <c r="K38" t="s">
        <v>45</v>
      </c>
      <c r="L38" t="s">
        <v>46</v>
      </c>
      <c r="M38" t="s">
        <v>47</v>
      </c>
      <c r="N38" t="s">
        <v>4</v>
      </c>
      <c r="O38" t="s">
        <v>48</v>
      </c>
      <c r="P38" t="s">
        <v>11</v>
      </c>
      <c r="Q38" t="s">
        <v>48</v>
      </c>
      <c r="R38" t="s">
        <v>50</v>
      </c>
      <c r="S38" t="s">
        <v>49</v>
      </c>
      <c r="T38" t="s">
        <v>4</v>
      </c>
    </row>
    <row r="39" spans="1:59" s="22" customFormat="1" x14ac:dyDescent="0.3">
      <c r="A39" t="s">
        <v>14</v>
      </c>
      <c r="B39">
        <v>336484.04499999998</v>
      </c>
      <c r="C39">
        <v>336.48404499999998</v>
      </c>
      <c r="D39">
        <v>336.48404499999998</v>
      </c>
      <c r="E39">
        <v>336484.04499999998</v>
      </c>
      <c r="F39">
        <v>376659.69500000001</v>
      </c>
      <c r="G39">
        <v>-0.106662991908385</v>
      </c>
      <c r="H39" s="1">
        <v>-0.106662991908385</v>
      </c>
      <c r="I39">
        <v>3062668.86</v>
      </c>
      <c r="J39">
        <v>3062.6688600000002</v>
      </c>
      <c r="K39">
        <v>3062668.86</v>
      </c>
      <c r="L39">
        <v>3484557.1967500001</v>
      </c>
      <c r="M39">
        <v>-0.121073729868314</v>
      </c>
      <c r="N39" s="1">
        <v>-0.121073729868314</v>
      </c>
      <c r="O39">
        <v>15307288.8135</v>
      </c>
      <c r="P39">
        <v>15307.288813499999</v>
      </c>
      <c r="Q39">
        <v>15307288.8135</v>
      </c>
      <c r="R39">
        <v>18066497.771749999</v>
      </c>
      <c r="S39">
        <v>-0.15272517081669701</v>
      </c>
      <c r="T39" s="1">
        <v>-0.15272517081669701</v>
      </c>
      <c r="AB39" s="23"/>
      <c r="AH39" s="23"/>
      <c r="AN39" s="23"/>
      <c r="BG39" s="23"/>
    </row>
    <row r="40" spans="1:59" s="22" customFormat="1" x14ac:dyDescent="0.3">
      <c r="A40" t="s">
        <v>15</v>
      </c>
      <c r="B40">
        <v>58896.495000000003</v>
      </c>
      <c r="C40">
        <v>58.896495000000002</v>
      </c>
      <c r="D40">
        <v>58.896495000000002</v>
      </c>
      <c r="E40">
        <v>58896.495000000003</v>
      </c>
      <c r="F40">
        <v>79367.606</v>
      </c>
      <c r="G40">
        <v>-0.25792778731413402</v>
      </c>
      <c r="H40" s="1">
        <v>-0.25792778731413402</v>
      </c>
      <c r="I40">
        <v>598765.66499999899</v>
      </c>
      <c r="J40">
        <v>598.76566499999899</v>
      </c>
      <c r="K40">
        <v>598765.66499999899</v>
      </c>
      <c r="L40">
        <v>715729.84324999899</v>
      </c>
      <c r="M40">
        <v>-0.16341945128190599</v>
      </c>
      <c r="N40" s="1">
        <v>-0.16341945128190599</v>
      </c>
      <c r="O40">
        <v>3256252.1475</v>
      </c>
      <c r="P40">
        <v>3256.2521474999999</v>
      </c>
      <c r="Q40">
        <v>3256252.1475</v>
      </c>
      <c r="R40">
        <v>3914358.51425</v>
      </c>
      <c r="S40">
        <v>-0.16812623686721601</v>
      </c>
      <c r="T40" s="1">
        <v>-0.16812623686721601</v>
      </c>
      <c r="AB40" s="23"/>
      <c r="AH40" s="23"/>
      <c r="AN40" s="23"/>
      <c r="BG40" s="23"/>
    </row>
    <row r="41" spans="1:59" s="22" customFormat="1" x14ac:dyDescent="0.3">
      <c r="A41" t="s">
        <v>16</v>
      </c>
      <c r="B41">
        <v>58681.495000000003</v>
      </c>
      <c r="C41">
        <v>58.681494999999998</v>
      </c>
      <c r="D41">
        <v>58.681494999999998</v>
      </c>
      <c r="E41">
        <v>58681.495000000003</v>
      </c>
      <c r="F41">
        <v>79067.606</v>
      </c>
      <c r="G41">
        <v>-0.25783139304862701</v>
      </c>
      <c r="H41" s="1">
        <v>-0.25783139304862701</v>
      </c>
      <c r="I41">
        <v>597403.66499999899</v>
      </c>
      <c r="J41">
        <v>597.40366499999902</v>
      </c>
      <c r="K41">
        <v>597403.66499999899</v>
      </c>
      <c r="L41">
        <v>714452.84324999899</v>
      </c>
      <c r="M41">
        <v>-0.16383051639566701</v>
      </c>
      <c r="N41" s="1">
        <v>-0.16383051639566701</v>
      </c>
      <c r="O41">
        <v>3247566.6475</v>
      </c>
      <c r="P41">
        <v>3247.5666474999998</v>
      </c>
      <c r="Q41">
        <v>3247566.6475</v>
      </c>
      <c r="R41">
        <v>3907276.51425</v>
      </c>
      <c r="S41">
        <v>-0.168841356465049</v>
      </c>
      <c r="T41" s="1">
        <v>-0.168841356465049</v>
      </c>
      <c r="AB41" s="23"/>
      <c r="AH41" s="23"/>
      <c r="AN41" s="23"/>
      <c r="BG41" s="23"/>
    </row>
    <row r="42" spans="1:59" s="22" customFormat="1" x14ac:dyDescent="0.3">
      <c r="A42" t="s">
        <v>17</v>
      </c>
      <c r="B42">
        <v>36966.995000000003</v>
      </c>
      <c r="C42">
        <v>36.966994999999997</v>
      </c>
      <c r="D42">
        <v>36.966994999999997</v>
      </c>
      <c r="E42">
        <v>36966.995000000003</v>
      </c>
      <c r="F42">
        <v>45125.106</v>
      </c>
      <c r="G42">
        <v>-0.180788738756646</v>
      </c>
      <c r="H42" s="1">
        <v>-0.180788738756646</v>
      </c>
      <c r="I42">
        <v>373173.842999999</v>
      </c>
      <c r="J42">
        <v>373.17384299999901</v>
      </c>
      <c r="K42">
        <v>373173.842999999</v>
      </c>
      <c r="L42">
        <v>426415.05225000001</v>
      </c>
      <c r="M42">
        <v>-0.12485771543258201</v>
      </c>
      <c r="N42" s="1">
        <v>-0.12485771543258201</v>
      </c>
      <c r="O42">
        <v>2081023.2945000001</v>
      </c>
      <c r="P42">
        <v>2081.0232944999998</v>
      </c>
      <c r="Q42">
        <v>2081023.2945000001</v>
      </c>
      <c r="R42">
        <v>2416706.5632500001</v>
      </c>
      <c r="S42">
        <v>-0.13890112844257299</v>
      </c>
      <c r="T42" s="1">
        <v>-0.13890112844257399</v>
      </c>
      <c r="AB42" s="23"/>
      <c r="AH42" s="23"/>
      <c r="AN42" s="23"/>
      <c r="BG42" s="23"/>
    </row>
    <row r="43" spans="1:59" s="22" customFormat="1" x14ac:dyDescent="0.3">
      <c r="A43" t="s">
        <v>18</v>
      </c>
      <c r="B43">
        <v>21714.5</v>
      </c>
      <c r="C43">
        <v>21.714500000000001</v>
      </c>
      <c r="D43">
        <v>21.714500000000001</v>
      </c>
      <c r="E43">
        <v>21714.5</v>
      </c>
      <c r="F43">
        <v>33942.5</v>
      </c>
      <c r="G43">
        <v>-0.36025631582823803</v>
      </c>
      <c r="H43" s="1">
        <v>-0.36025631582823803</v>
      </c>
      <c r="I43">
        <v>224229.82199999999</v>
      </c>
      <c r="J43">
        <v>224.22982200000001</v>
      </c>
      <c r="K43">
        <v>224229.82199999999</v>
      </c>
      <c r="L43">
        <v>288037.79100000003</v>
      </c>
      <c r="M43">
        <v>-0.221526379502056</v>
      </c>
      <c r="N43" s="1">
        <v>-0.221526379502056</v>
      </c>
      <c r="O43">
        <v>1166543.3529999999</v>
      </c>
      <c r="P43">
        <v>1166.543353</v>
      </c>
      <c r="Q43">
        <v>1166543.3529999999</v>
      </c>
      <c r="R43">
        <v>1490569.9509999999</v>
      </c>
      <c r="S43">
        <v>-0.21738436212444401</v>
      </c>
      <c r="T43" s="1">
        <v>-0.21738436212444501</v>
      </c>
      <c r="AB43" s="23"/>
      <c r="AH43" s="23"/>
      <c r="AN43" s="23"/>
      <c r="BG43" s="23"/>
    </row>
    <row r="44" spans="1:59" s="22" customFormat="1" x14ac:dyDescent="0.3">
      <c r="A44" t="s">
        <v>19</v>
      </c>
      <c r="B44">
        <v>215</v>
      </c>
      <c r="C44">
        <v>0.215</v>
      </c>
      <c r="D44">
        <v>0.215</v>
      </c>
      <c r="E44">
        <v>215</v>
      </c>
      <c r="F44">
        <v>300</v>
      </c>
      <c r="G44">
        <v>-0.28333333333333299</v>
      </c>
      <c r="H44" s="1">
        <v>-0.28333333333333299</v>
      </c>
      <c r="I44">
        <v>1362</v>
      </c>
      <c r="J44">
        <v>1.3620000000000001</v>
      </c>
      <c r="K44">
        <v>1362</v>
      </c>
      <c r="L44">
        <v>1277</v>
      </c>
      <c r="M44">
        <v>6.65622552858261E-2</v>
      </c>
      <c r="N44" s="1">
        <v>6.65622552858261E-2</v>
      </c>
      <c r="O44">
        <v>8685.5</v>
      </c>
      <c r="P44">
        <v>8.6854999999999905</v>
      </c>
      <c r="Q44">
        <v>8685.5</v>
      </c>
      <c r="R44">
        <v>7082</v>
      </c>
      <c r="S44">
        <v>0.22641909065235799</v>
      </c>
      <c r="T44" s="1">
        <v>0.22641909065235799</v>
      </c>
      <c r="AB44" s="23"/>
      <c r="AH44" s="23"/>
      <c r="AN44" s="23"/>
      <c r="BG44" s="23"/>
    </row>
    <row r="45" spans="1:59" s="22" customFormat="1" x14ac:dyDescent="0.3">
      <c r="A45" t="s">
        <v>20</v>
      </c>
      <c r="B45">
        <v>39042.6349999999</v>
      </c>
      <c r="C45">
        <v>39.042634999999997</v>
      </c>
      <c r="D45">
        <v>39.042634999999997</v>
      </c>
      <c r="E45">
        <v>39042.6349999999</v>
      </c>
      <c r="F45">
        <v>36560.483</v>
      </c>
      <c r="G45">
        <v>6.7891663247446499E-2</v>
      </c>
      <c r="H45" s="1">
        <v>6.7891663247446499E-2</v>
      </c>
      <c r="I45">
        <v>298201.27</v>
      </c>
      <c r="J45">
        <v>298.20127000000002</v>
      </c>
      <c r="K45">
        <v>298201.27</v>
      </c>
      <c r="L45">
        <v>355000.12599999999</v>
      </c>
      <c r="M45">
        <v>-0.15999672067722001</v>
      </c>
      <c r="N45" s="1">
        <v>-0.15999672067722001</v>
      </c>
      <c r="O45">
        <v>1401937.9267500001</v>
      </c>
      <c r="P45">
        <v>1401.9379267500001</v>
      </c>
      <c r="Q45">
        <v>1401937.9267500001</v>
      </c>
      <c r="R45">
        <v>1596053.6155000001</v>
      </c>
      <c r="S45">
        <v>-0.12162228565810899</v>
      </c>
      <c r="T45" s="1">
        <v>-0.12162228565810899</v>
      </c>
      <c r="AB45" s="23"/>
      <c r="AH45" s="23"/>
      <c r="AN45" s="23"/>
      <c r="BG45" s="23"/>
    </row>
    <row r="46" spans="1:59" s="22" customFormat="1" x14ac:dyDescent="0.3">
      <c r="A46" t="s">
        <v>21</v>
      </c>
      <c r="B46">
        <v>39017.6349999999</v>
      </c>
      <c r="C46">
        <v>39.017634999999899</v>
      </c>
      <c r="D46">
        <v>39.017634999999899</v>
      </c>
      <c r="E46">
        <v>39017.6349999999</v>
      </c>
      <c r="F46">
        <v>36183.483</v>
      </c>
      <c r="G46">
        <v>7.8327230134257506E-2</v>
      </c>
      <c r="H46" s="1">
        <v>7.8327230134257506E-2</v>
      </c>
      <c r="I46">
        <v>297281.27</v>
      </c>
      <c r="J46">
        <v>297.28127000000001</v>
      </c>
      <c r="K46">
        <v>297281.27</v>
      </c>
      <c r="L46">
        <v>354308.12599999999</v>
      </c>
      <c r="M46">
        <v>-0.16095271831276001</v>
      </c>
      <c r="N46" s="1">
        <v>-0.16095271831276001</v>
      </c>
      <c r="O46">
        <v>1399211.9267500001</v>
      </c>
      <c r="P46">
        <v>1399.21192675</v>
      </c>
      <c r="Q46">
        <v>1399211.9267500001</v>
      </c>
      <c r="R46">
        <v>1593572.6155000001</v>
      </c>
      <c r="S46">
        <v>-0.121965379462182</v>
      </c>
      <c r="T46" s="1">
        <v>-0.121965379462182</v>
      </c>
      <c r="AB46" s="23"/>
      <c r="AH46" s="23"/>
      <c r="AN46" s="23"/>
      <c r="BG46" s="23"/>
    </row>
    <row r="47" spans="1:59" s="22" customFormat="1" x14ac:dyDescent="0.3">
      <c r="A47" t="s">
        <v>17</v>
      </c>
      <c r="B47">
        <v>14454.135</v>
      </c>
      <c r="C47">
        <v>14.454135000000001</v>
      </c>
      <c r="D47">
        <v>14.454135000000001</v>
      </c>
      <c r="E47">
        <v>14454.135</v>
      </c>
      <c r="F47">
        <v>16933.483</v>
      </c>
      <c r="G47">
        <v>-0.146416894858547</v>
      </c>
      <c r="H47" s="1">
        <v>-0.146416894858547</v>
      </c>
      <c r="I47">
        <v>131059.772</v>
      </c>
      <c r="J47">
        <v>131.05977200000001</v>
      </c>
      <c r="K47">
        <v>131059.772</v>
      </c>
      <c r="L47">
        <v>153207.296</v>
      </c>
      <c r="M47">
        <v>-0.144559199060598</v>
      </c>
      <c r="N47" s="1">
        <v>-0.144559199060598</v>
      </c>
      <c r="O47">
        <v>681248.08875</v>
      </c>
      <c r="P47">
        <v>681.24808874999997</v>
      </c>
      <c r="Q47">
        <v>681248.08875</v>
      </c>
      <c r="R47">
        <v>766262.66749999998</v>
      </c>
      <c r="S47">
        <v>-0.11094704512666199</v>
      </c>
      <c r="T47" s="1">
        <v>-0.11094704512666199</v>
      </c>
      <c r="AB47" s="23"/>
      <c r="AH47" s="23"/>
      <c r="AN47" s="23"/>
      <c r="BG47" s="23"/>
    </row>
    <row r="48" spans="1:59" s="22" customFormat="1" x14ac:dyDescent="0.3">
      <c r="A48" t="s">
        <v>18</v>
      </c>
      <c r="B48">
        <v>24563.5</v>
      </c>
      <c r="C48">
        <v>24.563500000000001</v>
      </c>
      <c r="D48">
        <v>24.563500000000001</v>
      </c>
      <c r="E48">
        <v>24563.5</v>
      </c>
      <c r="F48">
        <v>19250</v>
      </c>
      <c r="G48">
        <v>0.27602597402597401</v>
      </c>
      <c r="H48" s="1">
        <v>0.27602597402597401</v>
      </c>
      <c r="I48">
        <v>166221.49799999999</v>
      </c>
      <c r="J48">
        <v>166.221498</v>
      </c>
      <c r="K48">
        <v>166221.49799999999</v>
      </c>
      <c r="L48">
        <v>201100.83</v>
      </c>
      <c r="M48">
        <v>-0.17344200916525301</v>
      </c>
      <c r="N48" s="1">
        <v>-0.17344200916525301</v>
      </c>
      <c r="O48">
        <v>717963.83799999906</v>
      </c>
      <c r="P48">
        <v>717.96383799999899</v>
      </c>
      <c r="Q48">
        <v>717963.83799999906</v>
      </c>
      <c r="R48">
        <v>827309.94799999997</v>
      </c>
      <c r="S48">
        <v>-0.13217066984911899</v>
      </c>
      <c r="T48" s="1">
        <v>-0.13217066984911899</v>
      </c>
      <c r="AB48" s="23"/>
      <c r="AH48" s="23"/>
      <c r="AN48" s="23"/>
      <c r="BG48" s="23"/>
    </row>
    <row r="49" spans="1:59" s="22" customFormat="1" x14ac:dyDescent="0.3">
      <c r="A49" t="s">
        <v>22</v>
      </c>
      <c r="B49">
        <v>25</v>
      </c>
      <c r="C49">
        <v>2.5000000000000001E-2</v>
      </c>
      <c r="D49">
        <v>2.5000000000000001E-2</v>
      </c>
      <c r="E49">
        <v>25</v>
      </c>
      <c r="F49">
        <v>377</v>
      </c>
      <c r="G49">
        <v>-0.93368700265251903</v>
      </c>
      <c r="H49" s="1">
        <v>-0.93368700265251903</v>
      </c>
      <c r="I49">
        <v>920</v>
      </c>
      <c r="J49">
        <v>0.92</v>
      </c>
      <c r="K49">
        <v>920</v>
      </c>
      <c r="L49">
        <v>692</v>
      </c>
      <c r="M49">
        <v>0.329479768786127</v>
      </c>
      <c r="N49" s="1">
        <v>0.329479768786127</v>
      </c>
      <c r="O49">
        <v>2726</v>
      </c>
      <c r="P49">
        <v>2.726</v>
      </c>
      <c r="Q49">
        <v>2726</v>
      </c>
      <c r="R49">
        <v>2481</v>
      </c>
      <c r="S49">
        <v>9.8750503829101097E-2</v>
      </c>
      <c r="T49" s="1">
        <v>9.8750503829101097E-2</v>
      </c>
      <c r="AB49" s="23"/>
      <c r="AH49" s="23"/>
      <c r="AN49" s="23"/>
      <c r="BG49" s="23"/>
    </row>
    <row r="50" spans="1:59" s="22" customFormat="1" x14ac:dyDescent="0.3">
      <c r="A50" t="s">
        <v>23</v>
      </c>
      <c r="B50">
        <v>36523.466999999997</v>
      </c>
      <c r="C50">
        <v>36.523466999999997</v>
      </c>
      <c r="D50">
        <v>36.523466999999997</v>
      </c>
      <c r="E50">
        <v>36523.466999999997</v>
      </c>
      <c r="F50">
        <v>32986.453000000001</v>
      </c>
      <c r="G50">
        <v>0.107226260428788</v>
      </c>
      <c r="H50" s="1">
        <v>0.107226260428788</v>
      </c>
      <c r="I50">
        <v>315482.81199999998</v>
      </c>
      <c r="J50">
        <v>315.48281200000002</v>
      </c>
      <c r="K50">
        <v>315482.81199999998</v>
      </c>
      <c r="L50">
        <v>315200.51199999999</v>
      </c>
      <c r="M50">
        <v>8.9562037259612699E-4</v>
      </c>
      <c r="N50" s="1">
        <v>8.9562037259613002E-4</v>
      </c>
      <c r="O50">
        <v>1368807.702</v>
      </c>
      <c r="P50">
        <v>1368.8077020000001</v>
      </c>
      <c r="Q50">
        <v>1368807.702</v>
      </c>
      <c r="R50">
        <v>1642686.1235</v>
      </c>
      <c r="S50">
        <v>-0.166725960353557</v>
      </c>
      <c r="T50" s="1">
        <v>-0.166725960353557</v>
      </c>
      <c r="AB50" s="23"/>
      <c r="AH50" s="23"/>
      <c r="AN50" s="23"/>
      <c r="BG50" s="23"/>
    </row>
    <row r="51" spans="1:59" s="22" customFormat="1" x14ac:dyDescent="0.3">
      <c r="A51" t="s">
        <v>24</v>
      </c>
      <c r="B51">
        <v>36209.466999999997</v>
      </c>
      <c r="C51">
        <v>36.209466999999997</v>
      </c>
      <c r="D51">
        <v>36.209466999999997</v>
      </c>
      <c r="E51">
        <v>36209.466999999997</v>
      </c>
      <c r="F51">
        <v>32836.453000000001</v>
      </c>
      <c r="G51">
        <v>0.102721630743734</v>
      </c>
      <c r="H51" s="1">
        <v>0.102721630743734</v>
      </c>
      <c r="I51">
        <v>311550.81199999998</v>
      </c>
      <c r="J51">
        <v>311.55081200000001</v>
      </c>
      <c r="K51">
        <v>311550.81199999998</v>
      </c>
      <c r="L51">
        <v>314024.01199999999</v>
      </c>
      <c r="M51">
        <v>-7.8758308456999999E-3</v>
      </c>
      <c r="N51" s="1">
        <v>-7.8758308457000104E-3</v>
      </c>
      <c r="O51">
        <v>1357309.702</v>
      </c>
      <c r="P51">
        <v>1357.309702</v>
      </c>
      <c r="Q51">
        <v>1357309.702</v>
      </c>
      <c r="R51">
        <v>1635308.6235</v>
      </c>
      <c r="S51">
        <v>-0.16999783252228401</v>
      </c>
      <c r="T51" s="1">
        <v>-0.16999783252228401</v>
      </c>
      <c r="AB51" s="23"/>
      <c r="AH51" s="23"/>
      <c r="AN51" s="23"/>
      <c r="BG51" s="23"/>
    </row>
    <row r="52" spans="1:59" s="22" customFormat="1" x14ac:dyDescent="0.3">
      <c r="A52" t="s">
        <v>17</v>
      </c>
      <c r="B52">
        <v>12550.467000000001</v>
      </c>
      <c r="C52">
        <v>12.550466999999999</v>
      </c>
      <c r="D52">
        <v>12.550466999999999</v>
      </c>
      <c r="E52">
        <v>12550.467000000001</v>
      </c>
      <c r="F52">
        <v>12928.453</v>
      </c>
      <c r="G52">
        <v>-2.9236754002973299E-2</v>
      </c>
      <c r="H52" s="1">
        <v>-2.9236754002973299E-2</v>
      </c>
      <c r="I52">
        <v>119749.011</v>
      </c>
      <c r="J52">
        <v>119.749011</v>
      </c>
      <c r="K52">
        <v>119749.011</v>
      </c>
      <c r="L52">
        <v>127486.71400000001</v>
      </c>
      <c r="M52">
        <v>-6.0694191239410701E-2</v>
      </c>
      <c r="N52" s="1">
        <v>-6.0694191239410701E-2</v>
      </c>
      <c r="O52">
        <v>594054.00399999996</v>
      </c>
      <c r="P52">
        <v>594.05400399999996</v>
      </c>
      <c r="Q52">
        <v>594054.00399999996</v>
      </c>
      <c r="R52">
        <v>690974.46649999998</v>
      </c>
      <c r="S52">
        <v>-0.14026634441491301</v>
      </c>
      <c r="T52" s="1">
        <v>-0.14026634441491301</v>
      </c>
      <c r="AB52" s="23"/>
      <c r="AH52" s="23"/>
      <c r="AN52" s="23"/>
      <c r="BG52" s="23"/>
    </row>
    <row r="53" spans="1:59" s="22" customFormat="1" x14ac:dyDescent="0.3">
      <c r="A53" t="s">
        <v>18</v>
      </c>
      <c r="B53">
        <v>23659</v>
      </c>
      <c r="C53">
        <v>23.658999999999999</v>
      </c>
      <c r="D53">
        <v>23.658999999999999</v>
      </c>
      <c r="E53">
        <v>23659</v>
      </c>
      <c r="F53">
        <v>19908</v>
      </c>
      <c r="G53">
        <v>0.18841671689772899</v>
      </c>
      <c r="H53" s="1">
        <v>0.18841671689772899</v>
      </c>
      <c r="I53">
        <v>191801.80100000001</v>
      </c>
      <c r="J53">
        <v>191.80180100000001</v>
      </c>
      <c r="K53">
        <v>191801.80100000001</v>
      </c>
      <c r="L53">
        <v>186537.29800000001</v>
      </c>
      <c r="M53">
        <v>2.82222539751808E-2</v>
      </c>
      <c r="N53" s="1">
        <v>2.82222539751808E-2</v>
      </c>
      <c r="O53">
        <v>763255.69799999997</v>
      </c>
      <c r="P53">
        <v>763.25569799999903</v>
      </c>
      <c r="Q53">
        <v>763255.69799999997</v>
      </c>
      <c r="R53">
        <v>944334.15700000001</v>
      </c>
      <c r="S53">
        <v>-0.191752524948644</v>
      </c>
      <c r="T53" s="1">
        <v>-0.191752524948645</v>
      </c>
      <c r="AB53" s="23"/>
      <c r="AH53" s="23"/>
      <c r="AN53" s="23"/>
      <c r="BG53" s="23"/>
    </row>
    <row r="54" spans="1:59" s="22" customFormat="1" x14ac:dyDescent="0.3">
      <c r="A54" t="s">
        <v>25</v>
      </c>
      <c r="B54">
        <v>314</v>
      </c>
      <c r="C54">
        <v>0.314</v>
      </c>
      <c r="D54">
        <v>0.314</v>
      </c>
      <c r="E54">
        <v>314</v>
      </c>
      <c r="F54">
        <v>150</v>
      </c>
      <c r="G54">
        <v>1.0933333333333299</v>
      </c>
      <c r="H54" s="1">
        <v>1.0933333333333299</v>
      </c>
      <c r="I54">
        <v>3932</v>
      </c>
      <c r="J54">
        <v>3.9319999999999999</v>
      </c>
      <c r="K54">
        <v>3932</v>
      </c>
      <c r="L54">
        <v>1176.5</v>
      </c>
      <c r="M54">
        <v>2.3421164470888201</v>
      </c>
      <c r="N54" s="1">
        <v>2.3421164470888201</v>
      </c>
      <c r="O54">
        <v>11498</v>
      </c>
      <c r="P54">
        <v>11.497999999999999</v>
      </c>
      <c r="Q54">
        <v>11498</v>
      </c>
      <c r="R54">
        <v>7377.5</v>
      </c>
      <c r="S54">
        <v>0.55852253473398805</v>
      </c>
      <c r="T54" s="1">
        <v>0.55852253473398805</v>
      </c>
      <c r="AB54" s="23"/>
      <c r="AH54" s="23"/>
      <c r="AN54" s="23"/>
      <c r="BG54" s="23"/>
    </row>
    <row r="55" spans="1:59" s="22" customFormat="1" x14ac:dyDescent="0.3">
      <c r="A55" t="s">
        <v>26</v>
      </c>
      <c r="B55">
        <v>43567.224000000002</v>
      </c>
      <c r="C55">
        <v>43.567224000000003</v>
      </c>
      <c r="D55">
        <v>43.567224000000003</v>
      </c>
      <c r="E55">
        <v>43567.224000000002</v>
      </c>
      <c r="F55">
        <v>49995.928</v>
      </c>
      <c r="G55">
        <v>-0.12858455192590801</v>
      </c>
      <c r="H55" s="1">
        <v>-0.12858455192590801</v>
      </c>
      <c r="I55">
        <v>400223.79300000001</v>
      </c>
      <c r="J55">
        <v>400.223793</v>
      </c>
      <c r="K55">
        <v>400223.79300000001</v>
      </c>
      <c r="L55">
        <v>433478.64399999997</v>
      </c>
      <c r="M55">
        <v>-7.6716238412889395E-2</v>
      </c>
      <c r="N55" s="1">
        <v>-7.6716238412889395E-2</v>
      </c>
      <c r="O55">
        <v>1743720.7322499999</v>
      </c>
      <c r="P55">
        <v>1743.7207322500001</v>
      </c>
      <c r="Q55">
        <v>1743720.7322499999</v>
      </c>
      <c r="R55">
        <v>2163909.0989999999</v>
      </c>
      <c r="S55">
        <v>-0.19418023009570001</v>
      </c>
      <c r="T55" s="1">
        <v>-0.19418023009570001</v>
      </c>
      <c r="AB55" s="23"/>
      <c r="AH55" s="23"/>
      <c r="AN55" s="23"/>
      <c r="BG55" s="23"/>
    </row>
    <row r="56" spans="1:59" s="22" customFormat="1" x14ac:dyDescent="0.3">
      <c r="A56" t="s">
        <v>27</v>
      </c>
      <c r="B56">
        <v>43507.224000000002</v>
      </c>
      <c r="C56">
        <v>43.507224000000001</v>
      </c>
      <c r="D56">
        <v>43.507224000000001</v>
      </c>
      <c r="E56">
        <v>43507.224000000002</v>
      </c>
      <c r="F56">
        <v>49010.928</v>
      </c>
      <c r="G56">
        <v>-0.112295445619801</v>
      </c>
      <c r="H56" s="1">
        <v>-0.112295445619801</v>
      </c>
      <c r="I56">
        <v>396795.29300000001</v>
      </c>
      <c r="J56">
        <v>396.79529300000002</v>
      </c>
      <c r="K56">
        <v>396795.29300000001</v>
      </c>
      <c r="L56">
        <v>429830.14399999997</v>
      </c>
      <c r="M56">
        <v>-7.6855593915721304E-2</v>
      </c>
      <c r="N56" s="1">
        <v>-7.6855593915721304E-2</v>
      </c>
      <c r="O56">
        <v>1727618.2322499999</v>
      </c>
      <c r="P56">
        <v>1727.6182322499999</v>
      </c>
      <c r="Q56">
        <v>1727618.2322499999</v>
      </c>
      <c r="R56">
        <v>2149505.5989999999</v>
      </c>
      <c r="S56">
        <v>-0.19627181568927801</v>
      </c>
      <c r="T56" s="1">
        <v>-0.19627181568927801</v>
      </c>
      <c r="AB56" s="23"/>
      <c r="AH56" s="23"/>
      <c r="AN56" s="23"/>
      <c r="BG56" s="23"/>
    </row>
    <row r="57" spans="1:59" s="22" customFormat="1" x14ac:dyDescent="0.3">
      <c r="A57" t="s">
        <v>17</v>
      </c>
      <c r="B57">
        <v>16023.433999999999</v>
      </c>
      <c r="C57">
        <v>16.023434000000002</v>
      </c>
      <c r="D57">
        <v>16.023434000000002</v>
      </c>
      <c r="E57">
        <v>16023.433999999999</v>
      </c>
      <c r="F57">
        <v>17155.600999999999</v>
      </c>
      <c r="G57">
        <v>-6.5994015598754299E-2</v>
      </c>
      <c r="H57" s="1">
        <v>-6.5994015598754299E-2</v>
      </c>
      <c r="I57">
        <v>149469.93599999999</v>
      </c>
      <c r="J57">
        <v>149.46993599999999</v>
      </c>
      <c r="K57">
        <v>149469.93599999999</v>
      </c>
      <c r="L57">
        <v>167667.03200000001</v>
      </c>
      <c r="M57">
        <v>-0.108531151192561</v>
      </c>
      <c r="N57" s="1">
        <v>-0.108531151192561</v>
      </c>
      <c r="O57">
        <v>753800.95825000003</v>
      </c>
      <c r="P57">
        <v>753.80095825000001</v>
      </c>
      <c r="Q57">
        <v>753800.95825000003</v>
      </c>
      <c r="R57">
        <v>885361.72499999998</v>
      </c>
      <c r="S57">
        <v>-0.14859549835407601</v>
      </c>
      <c r="T57" s="1">
        <v>-0.14859549835407601</v>
      </c>
      <c r="AB57" s="23"/>
      <c r="AH57" s="23"/>
      <c r="AN57" s="23"/>
      <c r="BG57" s="23"/>
    </row>
    <row r="58" spans="1:59" s="22" customFormat="1" x14ac:dyDescent="0.3">
      <c r="A58" t="s">
        <v>18</v>
      </c>
      <c r="B58">
        <v>27483.79</v>
      </c>
      <c r="C58">
        <v>27.483789999999999</v>
      </c>
      <c r="D58">
        <v>27.483789999999999</v>
      </c>
      <c r="E58">
        <v>27483.79</v>
      </c>
      <c r="F58">
        <v>31855.327000000001</v>
      </c>
      <c r="G58">
        <v>-0.13723095669367899</v>
      </c>
      <c r="H58" s="1">
        <v>-0.13723095669367899</v>
      </c>
      <c r="I58">
        <v>247325.35699999999</v>
      </c>
      <c r="J58">
        <v>247.325357</v>
      </c>
      <c r="K58">
        <v>247325.35699999999</v>
      </c>
      <c r="L58">
        <v>262163.11200000002</v>
      </c>
      <c r="M58">
        <v>-5.6597417107255001E-2</v>
      </c>
      <c r="N58" s="1">
        <v>-5.6597417107255001E-2</v>
      </c>
      <c r="O58">
        <v>973817.27399999998</v>
      </c>
      <c r="P58">
        <v>973.817274</v>
      </c>
      <c r="Q58">
        <v>973817.27399999998</v>
      </c>
      <c r="R58">
        <v>1264143.8740000001</v>
      </c>
      <c r="S58">
        <v>-0.22966262461989301</v>
      </c>
      <c r="T58" s="1">
        <v>-0.22966262461989301</v>
      </c>
      <c r="AB58" s="23"/>
      <c r="AH58" s="23"/>
      <c r="AN58" s="23"/>
      <c r="BG58" s="23"/>
    </row>
    <row r="59" spans="1:59" s="22" customFormat="1" x14ac:dyDescent="0.3">
      <c r="A59" t="s">
        <v>28</v>
      </c>
      <c r="B59">
        <v>60</v>
      </c>
      <c r="C59">
        <v>0.06</v>
      </c>
      <c r="D59">
        <v>0.06</v>
      </c>
      <c r="E59">
        <v>60</v>
      </c>
      <c r="F59">
        <v>985</v>
      </c>
      <c r="G59">
        <v>-0.93908629441624303</v>
      </c>
      <c r="H59" s="1">
        <v>-0.93908629441624303</v>
      </c>
      <c r="I59">
        <v>3428.5</v>
      </c>
      <c r="J59">
        <v>3.4285000000000001</v>
      </c>
      <c r="K59">
        <v>3428.5</v>
      </c>
      <c r="L59">
        <v>3648.5</v>
      </c>
      <c r="M59">
        <v>-6.0298752912155598E-2</v>
      </c>
      <c r="N59" s="1">
        <v>-6.0298752912155598E-2</v>
      </c>
      <c r="O59">
        <v>16102.5</v>
      </c>
      <c r="P59">
        <v>16.102499999999999</v>
      </c>
      <c r="Q59">
        <v>16102.5</v>
      </c>
      <c r="R59">
        <v>14403.5</v>
      </c>
      <c r="S59">
        <v>0.117957440899781</v>
      </c>
      <c r="T59" s="1">
        <v>0.117957440899781</v>
      </c>
      <c r="AB59" s="23"/>
      <c r="AH59" s="23"/>
      <c r="AN59" s="23"/>
      <c r="BG59" s="23"/>
    </row>
    <row r="60" spans="1:59" s="22" customFormat="1" x14ac:dyDescent="0.3">
      <c r="A60" t="s">
        <v>29</v>
      </c>
      <c r="B60">
        <v>91172.775999999998</v>
      </c>
      <c r="C60">
        <v>91.172775999999999</v>
      </c>
      <c r="D60">
        <v>91.172775999999999</v>
      </c>
      <c r="E60">
        <v>91172.775999999998</v>
      </c>
      <c r="F60">
        <v>99913.541999999899</v>
      </c>
      <c r="G60">
        <v>-8.7483296308322106E-2</v>
      </c>
      <c r="H60" s="1">
        <v>-8.7483296308322106E-2</v>
      </c>
      <c r="I60">
        <v>831980.674999999</v>
      </c>
      <c r="J60">
        <v>831.980674999999</v>
      </c>
      <c r="K60">
        <v>831980.674999999</v>
      </c>
      <c r="L60">
        <v>918360.48100000003</v>
      </c>
      <c r="M60">
        <v>-9.4058714183717196E-2</v>
      </c>
      <c r="N60" s="1">
        <v>-9.4058714183717196E-2</v>
      </c>
      <c r="O60">
        <v>4502829.18</v>
      </c>
      <c r="P60">
        <v>4502.8291799999997</v>
      </c>
      <c r="Q60">
        <v>4502829.18</v>
      </c>
      <c r="R60">
        <v>4969568.7434999999</v>
      </c>
      <c r="S60">
        <v>-9.3919530564996204E-2</v>
      </c>
      <c r="T60" s="1">
        <v>-9.3919530564996204E-2</v>
      </c>
      <c r="AB60" s="23"/>
      <c r="AH60" s="23"/>
      <c r="AN60" s="23"/>
      <c r="BG60" s="23"/>
    </row>
    <row r="61" spans="1:59" s="22" customFormat="1" x14ac:dyDescent="0.3">
      <c r="A61" t="s">
        <v>30</v>
      </c>
      <c r="B61">
        <v>91072.775999999998</v>
      </c>
      <c r="C61">
        <v>91.072776000000005</v>
      </c>
      <c r="D61">
        <v>91.072776000000005</v>
      </c>
      <c r="E61">
        <v>91072.775999999998</v>
      </c>
      <c r="F61">
        <v>99783.541999999899</v>
      </c>
      <c r="G61">
        <v>-8.7296620518842502E-2</v>
      </c>
      <c r="H61" s="1">
        <v>-8.7296620518842502E-2</v>
      </c>
      <c r="I61">
        <v>830068.174999999</v>
      </c>
      <c r="J61">
        <v>830.06817499999897</v>
      </c>
      <c r="K61">
        <v>830068.174999999</v>
      </c>
      <c r="L61">
        <v>917805.48100000003</v>
      </c>
      <c r="M61">
        <v>-9.5594663375081795E-2</v>
      </c>
      <c r="N61" s="1">
        <v>-9.5594663375081795E-2</v>
      </c>
      <c r="O61">
        <v>4494045.68</v>
      </c>
      <c r="P61">
        <v>4494.0456800000002</v>
      </c>
      <c r="Q61">
        <v>4494045.68</v>
      </c>
      <c r="R61">
        <v>4963502.7434999999</v>
      </c>
      <c r="S61">
        <v>-9.4581808001371601E-2</v>
      </c>
      <c r="T61" s="1">
        <v>-9.4581808001371601E-2</v>
      </c>
      <c r="AB61" s="23"/>
      <c r="AH61" s="23"/>
      <c r="AN61" s="23"/>
      <c r="BG61" s="23"/>
    </row>
    <row r="62" spans="1:59" s="22" customFormat="1" x14ac:dyDescent="0.3">
      <c r="A62" t="s">
        <v>17</v>
      </c>
      <c r="B62">
        <v>37567.448999999899</v>
      </c>
      <c r="C62">
        <v>37.567449000000003</v>
      </c>
      <c r="D62">
        <v>37.567449000000003</v>
      </c>
      <c r="E62">
        <v>37567.448999999899</v>
      </c>
      <c r="F62">
        <v>41374.216999999997</v>
      </c>
      <c r="G62">
        <v>-9.2008218548281007E-2</v>
      </c>
      <c r="H62" s="1">
        <v>-9.2008218548281007E-2</v>
      </c>
      <c r="I62">
        <v>352622.88799999899</v>
      </c>
      <c r="J62">
        <v>352.62288799999902</v>
      </c>
      <c r="K62">
        <v>352622.88799999899</v>
      </c>
      <c r="L62">
        <v>388399.20799999998</v>
      </c>
      <c r="M62">
        <v>-9.21122372628526E-2</v>
      </c>
      <c r="N62" s="1">
        <v>-9.21122372628526E-2</v>
      </c>
      <c r="O62">
        <v>1941189.189</v>
      </c>
      <c r="P62">
        <v>1941.1891889999999</v>
      </c>
      <c r="Q62">
        <v>1941189.189</v>
      </c>
      <c r="R62">
        <v>2210575.3695</v>
      </c>
      <c r="S62">
        <v>-0.121862472647078</v>
      </c>
      <c r="T62" s="1">
        <v>-0.121862472647078</v>
      </c>
      <c r="AB62" s="23"/>
      <c r="AH62" s="23"/>
      <c r="AN62" s="23"/>
      <c r="BG62" s="23"/>
    </row>
    <row r="63" spans="1:59" s="22" customFormat="1" x14ac:dyDescent="0.3">
      <c r="A63" t="s">
        <v>18</v>
      </c>
      <c r="B63">
        <v>53505.326999999997</v>
      </c>
      <c r="C63">
        <v>53.505327000000001</v>
      </c>
      <c r="D63">
        <v>53.505327000000001</v>
      </c>
      <c r="E63">
        <v>53505.326999999997</v>
      </c>
      <c r="F63">
        <v>58409.324999999997</v>
      </c>
      <c r="G63">
        <v>-8.3959162342656601E-2</v>
      </c>
      <c r="H63" s="1">
        <v>-8.3959162342656601E-2</v>
      </c>
      <c r="I63">
        <v>477445.28700000001</v>
      </c>
      <c r="J63">
        <v>477.44528700000001</v>
      </c>
      <c r="K63">
        <v>477445.28700000001</v>
      </c>
      <c r="L63">
        <v>529406.27300000004</v>
      </c>
      <c r="M63">
        <v>-9.8149547238175594E-2</v>
      </c>
      <c r="N63" s="1">
        <v>-9.8149547238175594E-2</v>
      </c>
      <c r="O63">
        <v>2552856.4909999999</v>
      </c>
      <c r="P63">
        <v>2552.856491</v>
      </c>
      <c r="Q63">
        <v>2552856.4909999999</v>
      </c>
      <c r="R63">
        <v>2752927.3739999998</v>
      </c>
      <c r="S63">
        <v>-7.26756851232499E-2</v>
      </c>
      <c r="T63" s="1">
        <v>-7.26756851232499E-2</v>
      </c>
      <c r="AB63" s="23"/>
      <c r="AH63" s="23"/>
      <c r="AN63" s="23"/>
      <c r="BG63" s="23"/>
    </row>
    <row r="64" spans="1:59" s="22" customFormat="1" x14ac:dyDescent="0.3">
      <c r="A64" t="s">
        <v>31</v>
      </c>
      <c r="B64">
        <v>100</v>
      </c>
      <c r="C64">
        <v>0.1</v>
      </c>
      <c r="D64">
        <v>0.1</v>
      </c>
      <c r="E64">
        <v>100</v>
      </c>
      <c r="F64">
        <v>130</v>
      </c>
      <c r="G64">
        <v>-0.23076923076923</v>
      </c>
      <c r="H64" s="1">
        <v>-0.23076923076923</v>
      </c>
      <c r="I64">
        <v>1912.5</v>
      </c>
      <c r="J64">
        <v>1.9125000000000001</v>
      </c>
      <c r="K64">
        <v>1912.5</v>
      </c>
      <c r="L64">
        <v>555</v>
      </c>
      <c r="M64">
        <v>2.4459459459459398</v>
      </c>
      <c r="N64" s="1">
        <v>2.4459459459459398</v>
      </c>
      <c r="O64">
        <v>8783.5</v>
      </c>
      <c r="P64">
        <v>8.7835000000000001</v>
      </c>
      <c r="Q64">
        <v>8783.5</v>
      </c>
      <c r="R64">
        <v>6066</v>
      </c>
      <c r="S64">
        <v>0.44798878997691999</v>
      </c>
      <c r="T64" s="1">
        <v>0.44798878997691999</v>
      </c>
      <c r="AB64" s="23"/>
      <c r="AH64" s="23"/>
      <c r="AN64" s="23"/>
      <c r="BG64" s="23"/>
    </row>
    <row r="65" spans="1:59" s="22" customFormat="1" x14ac:dyDescent="0.3">
      <c r="A65" t="s">
        <v>32</v>
      </c>
      <c r="B65">
        <v>67281.448000000004</v>
      </c>
      <c r="C65">
        <v>67.281447999999997</v>
      </c>
      <c r="D65">
        <v>67.281447999999997</v>
      </c>
      <c r="E65">
        <v>67281.448000000004</v>
      </c>
      <c r="F65">
        <v>77741.682999999903</v>
      </c>
      <c r="G65">
        <v>-0.13455117764815999</v>
      </c>
      <c r="H65" s="1">
        <v>-0.13455117764815999</v>
      </c>
      <c r="I65">
        <v>618014.64500000002</v>
      </c>
      <c r="J65">
        <v>618.01464499999997</v>
      </c>
      <c r="K65">
        <v>618014.64500000002</v>
      </c>
      <c r="L65">
        <v>746352.090499999</v>
      </c>
      <c r="M65">
        <v>-0.17195295241153999</v>
      </c>
      <c r="N65" s="1">
        <v>-0.17195295241153999</v>
      </c>
      <c r="O65">
        <v>3033741.125</v>
      </c>
      <c r="P65">
        <v>3033.741125</v>
      </c>
      <c r="Q65">
        <v>3033741.125</v>
      </c>
      <c r="R65">
        <v>3777344.676</v>
      </c>
      <c r="S65">
        <v>-0.19685880288463201</v>
      </c>
      <c r="T65" s="1">
        <v>-0.19685880288463201</v>
      </c>
      <c r="AB65" s="23"/>
      <c r="AH65" s="23"/>
      <c r="AN65" s="23"/>
      <c r="BG65" s="23"/>
    </row>
    <row r="66" spans="1:59" s="22" customFormat="1" x14ac:dyDescent="0.3">
      <c r="A66" t="s">
        <v>33</v>
      </c>
      <c r="B66">
        <v>67281.448000000004</v>
      </c>
      <c r="C66">
        <v>67.281447999999997</v>
      </c>
      <c r="D66">
        <v>67.281447999999997</v>
      </c>
      <c r="E66">
        <v>67281.448000000004</v>
      </c>
      <c r="F66">
        <v>77636.682999999903</v>
      </c>
      <c r="G66">
        <v>-0.13338069840000699</v>
      </c>
      <c r="H66" s="1">
        <v>-0.13338069840000699</v>
      </c>
      <c r="I66">
        <v>617160.64500000002</v>
      </c>
      <c r="J66">
        <v>617.16064500000005</v>
      </c>
      <c r="K66">
        <v>617160.64500000002</v>
      </c>
      <c r="L66">
        <v>743826.090499999</v>
      </c>
      <c r="M66">
        <v>-0.170289059657554</v>
      </c>
      <c r="N66" s="1">
        <v>-0.170289059657554</v>
      </c>
      <c r="O66">
        <v>3019988.625</v>
      </c>
      <c r="P66">
        <v>3019.988625</v>
      </c>
      <c r="Q66">
        <v>3019988.625</v>
      </c>
      <c r="R66">
        <v>3770836.676</v>
      </c>
      <c r="S66">
        <v>-0.19911974861676501</v>
      </c>
      <c r="T66" s="1">
        <v>-0.19911974861676501</v>
      </c>
      <c r="AB66" s="23"/>
      <c r="AH66" s="23"/>
      <c r="AN66" s="23"/>
      <c r="BG66" s="23"/>
    </row>
    <row r="67" spans="1:59" s="22" customFormat="1" x14ac:dyDescent="0.3">
      <c r="A67" t="s">
        <v>17</v>
      </c>
      <c r="B67">
        <v>29456.448</v>
      </c>
      <c r="C67">
        <v>29.456448000000002</v>
      </c>
      <c r="D67">
        <v>29.456448000000002</v>
      </c>
      <c r="E67">
        <v>29456.448</v>
      </c>
      <c r="F67">
        <v>32783.682999999997</v>
      </c>
      <c r="G67">
        <v>-0.10149057993270599</v>
      </c>
      <c r="H67" s="1">
        <v>-0.10149057993270599</v>
      </c>
      <c r="I67">
        <v>274778.49400000001</v>
      </c>
      <c r="J67">
        <v>274.77849400000002</v>
      </c>
      <c r="K67">
        <v>274778.49400000001</v>
      </c>
      <c r="L67">
        <v>324864.98649999901</v>
      </c>
      <c r="M67">
        <v>-0.15417633349662199</v>
      </c>
      <c r="N67" s="1">
        <v>-0.15417633349662199</v>
      </c>
      <c r="O67">
        <v>1454798.7080000001</v>
      </c>
      <c r="P67">
        <v>1454.798708</v>
      </c>
      <c r="Q67">
        <v>1454798.7080000001</v>
      </c>
      <c r="R67">
        <v>1718149.2849999999</v>
      </c>
      <c r="S67">
        <v>-0.15327572481572699</v>
      </c>
      <c r="T67" s="1">
        <v>-0.15327572481572699</v>
      </c>
      <c r="AB67" s="23"/>
      <c r="AH67" s="23"/>
      <c r="AN67" s="23"/>
      <c r="BG67" s="23"/>
    </row>
    <row r="68" spans="1:59" s="22" customFormat="1" x14ac:dyDescent="0.3">
      <c r="A68" t="s">
        <v>18</v>
      </c>
      <c r="B68">
        <v>37825</v>
      </c>
      <c r="C68">
        <v>37.825000000000003</v>
      </c>
      <c r="D68">
        <v>37.825000000000003</v>
      </c>
      <c r="E68">
        <v>37825</v>
      </c>
      <c r="F68">
        <v>44853</v>
      </c>
      <c r="G68">
        <v>-0.15668963057097601</v>
      </c>
      <c r="H68" s="1">
        <v>-0.15668963057097601</v>
      </c>
      <c r="I68">
        <v>342382.15100000001</v>
      </c>
      <c r="J68">
        <v>342.38215100000002</v>
      </c>
      <c r="K68">
        <v>342382.15100000001</v>
      </c>
      <c r="L68">
        <v>418961.10399999999</v>
      </c>
      <c r="M68">
        <v>-0.18278296545638201</v>
      </c>
      <c r="N68" s="1">
        <v>-0.18278296545638201</v>
      </c>
      <c r="O68">
        <v>1565189.9169999999</v>
      </c>
      <c r="P68">
        <v>1565.1899169999999</v>
      </c>
      <c r="Q68">
        <v>1565189.9169999999</v>
      </c>
      <c r="R68">
        <v>2052687.3910000001</v>
      </c>
      <c r="S68">
        <v>-0.237492311852954</v>
      </c>
      <c r="T68" s="1">
        <v>-0.237492311852954</v>
      </c>
      <c r="AB68" s="23"/>
      <c r="AH68" s="23"/>
      <c r="AN68" s="23"/>
      <c r="BG68" s="23"/>
    </row>
    <row r="69" spans="1:59" s="22" customFormat="1" x14ac:dyDescent="0.3">
      <c r="A69" t="s">
        <v>34</v>
      </c>
      <c r="B69">
        <v>0</v>
      </c>
      <c r="C69">
        <v>0</v>
      </c>
      <c r="D69">
        <v>0</v>
      </c>
      <c r="E69">
        <v>0</v>
      </c>
      <c r="F69">
        <v>105</v>
      </c>
      <c r="G69">
        <v>-1</v>
      </c>
      <c r="H69" s="1">
        <v>-1</v>
      </c>
      <c r="I69">
        <v>854</v>
      </c>
      <c r="J69">
        <v>0.85399999999999998</v>
      </c>
      <c r="K69">
        <v>854</v>
      </c>
      <c r="L69">
        <v>2526</v>
      </c>
      <c r="M69">
        <v>-0.66191607284243803</v>
      </c>
      <c r="N69" s="1">
        <v>-0.66191607284243803</v>
      </c>
      <c r="O69">
        <v>13752.5</v>
      </c>
      <c r="P69">
        <v>13.7525</v>
      </c>
      <c r="Q69">
        <v>13752.5</v>
      </c>
      <c r="R69">
        <v>6508</v>
      </c>
      <c r="S69">
        <v>1.1131684081130899</v>
      </c>
      <c r="T69" s="1">
        <v>1.1131684081130899</v>
      </c>
      <c r="AB69" s="23"/>
      <c r="AH69" s="23"/>
      <c r="AN69" s="23"/>
      <c r="BG69" s="23"/>
    </row>
    <row r="70" spans="1:59" s="22" customFormat="1" x14ac:dyDescent="0.3">
      <c r="A70" t="s">
        <v>35</v>
      </c>
      <c r="B70">
        <v>0</v>
      </c>
      <c r="C70">
        <v>0</v>
      </c>
      <c r="D70">
        <v>0</v>
      </c>
      <c r="E70">
        <v>0</v>
      </c>
      <c r="F70">
        <v>94</v>
      </c>
      <c r="G70">
        <v>-1</v>
      </c>
      <c r="H70" s="1">
        <v>-1</v>
      </c>
      <c r="I70">
        <v>0</v>
      </c>
      <c r="J70">
        <v>0</v>
      </c>
      <c r="K70">
        <v>0</v>
      </c>
      <c r="L70">
        <v>435.5</v>
      </c>
      <c r="M70">
        <v>-1</v>
      </c>
      <c r="N70" s="1">
        <v>-1</v>
      </c>
      <c r="O70">
        <v>0</v>
      </c>
      <c r="P70">
        <v>0</v>
      </c>
      <c r="Q70">
        <v>0</v>
      </c>
      <c r="R70">
        <v>2577</v>
      </c>
      <c r="S70">
        <v>-1</v>
      </c>
      <c r="T70" s="1">
        <v>-1</v>
      </c>
      <c r="AB70" s="23"/>
      <c r="AH70" s="23"/>
      <c r="AN70" s="23"/>
      <c r="BG7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topLeftCell="M44" zoomScale="85" zoomScaleNormal="85" workbookViewId="0">
      <selection activeCell="S46" sqref="S46"/>
    </sheetView>
  </sheetViews>
  <sheetFormatPr defaultRowHeight="14" x14ac:dyDescent="0.3"/>
  <cols>
    <col min="1" max="1" width="15.75" bestFit="1" customWidth="1"/>
    <col min="2" max="2" width="12.33203125" customWidth="1"/>
    <col min="3" max="3" width="28.33203125" customWidth="1"/>
    <col min="4" max="4" width="30.08203125" customWidth="1"/>
    <col min="5" max="5" width="11.25" customWidth="1"/>
    <col min="6" max="6" width="12.33203125" customWidth="1"/>
    <col min="7" max="7" width="31.75" customWidth="1"/>
    <col min="8" max="8" width="12.33203125" bestFit="1" customWidth="1"/>
    <col min="9" max="9" width="19.5" customWidth="1"/>
    <col min="10" max="10" width="11.25" bestFit="1" customWidth="1"/>
    <col min="11" max="11" width="19.5" customWidth="1"/>
    <col min="12" max="12" width="19.25" customWidth="1"/>
    <col min="13" max="13" width="36.58203125" customWidth="1"/>
    <col min="14" max="14" width="12.33203125" bestFit="1" customWidth="1"/>
    <col min="15" max="15" width="19.33203125" customWidth="1"/>
    <col min="16" max="16" width="12.33203125" bestFit="1" customWidth="1"/>
    <col min="17" max="17" width="36.5" customWidth="1"/>
    <col min="18" max="18" width="19.33203125" customWidth="1"/>
    <col min="19" max="19" width="19.08203125" customWidth="1"/>
    <col min="20" max="20" width="12.33203125" bestFit="1" customWidth="1"/>
    <col min="21" max="21" width="8" bestFit="1" customWidth="1"/>
  </cols>
  <sheetData>
    <row r="1" spans="1:21" x14ac:dyDescent="0.3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5</v>
      </c>
      <c r="I1" t="s">
        <v>7</v>
      </c>
      <c r="J1" s="2" t="s">
        <v>4</v>
      </c>
      <c r="K1" t="s">
        <v>5</v>
      </c>
      <c r="L1" t="s">
        <v>8</v>
      </c>
      <c r="M1" s="2" t="s">
        <v>9</v>
      </c>
      <c r="N1" t="s">
        <v>10</v>
      </c>
      <c r="O1" s="2" t="s">
        <v>11</v>
      </c>
      <c r="P1" t="s">
        <v>10</v>
      </c>
      <c r="Q1" t="s">
        <v>12</v>
      </c>
      <c r="R1" s="2" t="s">
        <v>4</v>
      </c>
      <c r="S1" t="s">
        <v>10</v>
      </c>
      <c r="T1" t="s">
        <v>13</v>
      </c>
      <c r="U1" s="2" t="s">
        <v>9</v>
      </c>
    </row>
    <row r="2" spans="1:21" x14ac:dyDescent="0.3">
      <c r="A2" t="s">
        <v>14</v>
      </c>
      <c r="B2">
        <v>72565926.709999993</v>
      </c>
      <c r="C2">
        <v>72.565926709999999</v>
      </c>
      <c r="D2">
        <v>83.063882930000005</v>
      </c>
      <c r="E2" s="1">
        <v>-0.12638412568368401</v>
      </c>
      <c r="F2">
        <v>657856426.01999903</v>
      </c>
      <c r="G2">
        <v>657.85642601999905</v>
      </c>
      <c r="H2">
        <v>657856426.01999903</v>
      </c>
      <c r="I2">
        <v>759375919.82000005</v>
      </c>
      <c r="J2" s="1">
        <v>-0.133688060353644</v>
      </c>
      <c r="K2">
        <v>657856426.01999903</v>
      </c>
      <c r="L2">
        <v>697399639.79318404</v>
      </c>
      <c r="M2" s="1">
        <v>-5.67009380516907E-2</v>
      </c>
      <c r="N2">
        <v>3238319971.3800001</v>
      </c>
      <c r="O2">
        <v>3238.31997138</v>
      </c>
      <c r="P2">
        <v>3238319971.3800001</v>
      </c>
      <c r="Q2">
        <v>3911338256.2800002</v>
      </c>
      <c r="R2" s="1">
        <v>-0.172068545546887</v>
      </c>
      <c r="S2">
        <v>3238319971.3800001</v>
      </c>
      <c r="T2">
        <v>3277863185.1531801</v>
      </c>
      <c r="U2" s="1">
        <v>-1.20637169825429E-2</v>
      </c>
    </row>
    <row r="3" spans="1:21" s="3" customFormat="1" x14ac:dyDescent="0.3">
      <c r="A3" s="3" t="s">
        <v>37</v>
      </c>
      <c r="B3" s="3">
        <f>B4+B9+B14</f>
        <v>36598180.18999999</v>
      </c>
      <c r="C3" s="3">
        <f>B3/1000000</f>
        <v>36.598180189999994</v>
      </c>
      <c r="D3" s="3">
        <f>D4+D9+D14</f>
        <v>42.796335980000002</v>
      </c>
      <c r="E3" s="4">
        <f>(C3-D3)/D3</f>
        <v>-0.14482912258882608</v>
      </c>
      <c r="F3" s="3">
        <f>F4+F9+F14</f>
        <v>330180538.25999898</v>
      </c>
      <c r="G3" s="3">
        <f>F3/1000000</f>
        <v>330.18053825999897</v>
      </c>
      <c r="H3" s="3">
        <f>H4+H9+H14</f>
        <v>330180538.25999898</v>
      </c>
      <c r="I3" s="3">
        <f>I4+I9+I14</f>
        <v>398430861.91000003</v>
      </c>
      <c r="J3" s="4">
        <f>(H3-I3)/I3</f>
        <v>-0.17129778381830735</v>
      </c>
      <c r="K3" s="3">
        <f>K4+K9+K14</f>
        <v>330180538.25999898</v>
      </c>
      <c r="L3" s="3">
        <f>L4+L9+L14</f>
        <v>359900289.75694215</v>
      </c>
      <c r="M3" s="4">
        <f>(K3-L3)/L3</f>
        <v>-8.2577737064380638E-2</v>
      </c>
      <c r="N3" s="3">
        <f>N4+N9+N14</f>
        <v>1658892098.9900022</v>
      </c>
      <c r="O3" s="3">
        <f>N3/1000000</f>
        <v>1658.8920989900021</v>
      </c>
      <c r="P3" s="3">
        <f>P4+P9+P14</f>
        <v>1658892098.9900022</v>
      </c>
      <c r="Q3" s="3">
        <f>Q4+Q9+Q14</f>
        <v>2013122267.029999</v>
      </c>
      <c r="R3" s="4">
        <f>(P3-Q3)/Q3</f>
        <v>-0.17596058314063556</v>
      </c>
      <c r="S3" s="3">
        <f>S4+S9+S14</f>
        <v>1658892098.9900022</v>
      </c>
      <c r="T3" s="3">
        <f>T4+T9+T14</f>
        <v>1688611850.4869452</v>
      </c>
      <c r="U3" s="4">
        <f>(S3-T3)/T3</f>
        <v>-1.7600108330622404E-2</v>
      </c>
    </row>
    <row r="4" spans="1:21" x14ac:dyDescent="0.3">
      <c r="A4" t="s">
        <v>15</v>
      </c>
      <c r="B4">
        <v>11948297.99</v>
      </c>
      <c r="C4">
        <v>11.94829799</v>
      </c>
      <c r="D4">
        <v>16.388482830000001</v>
      </c>
      <c r="E4" s="1">
        <v>-0.27093324538083502</v>
      </c>
      <c r="F4">
        <v>120794182.81999899</v>
      </c>
      <c r="G4">
        <v>120.79418281999899</v>
      </c>
      <c r="H4">
        <v>120794182.81999899</v>
      </c>
      <c r="I4">
        <v>146494169.47</v>
      </c>
      <c r="J4" s="1">
        <v>-0.175433512084337</v>
      </c>
      <c r="K4">
        <v>120794182.81999899</v>
      </c>
      <c r="L4">
        <v>131823525.46705</v>
      </c>
      <c r="M4" s="1">
        <v>-8.3667483538870102E-2</v>
      </c>
      <c r="N4">
        <v>652458122.13000095</v>
      </c>
      <c r="O4">
        <v>652.45812213000102</v>
      </c>
      <c r="P4">
        <v>652458122.13000095</v>
      </c>
      <c r="Q4">
        <v>796540211.23000002</v>
      </c>
      <c r="R4" s="1">
        <v>-0.18088489076717101</v>
      </c>
      <c r="S4">
        <v>652458122.13000095</v>
      </c>
      <c r="T4">
        <v>663487464.77705097</v>
      </c>
      <c r="U4" s="1">
        <v>-1.6623287149451101E-2</v>
      </c>
    </row>
    <row r="5" spans="1:21" x14ac:dyDescent="0.3">
      <c r="A5" t="s">
        <v>16</v>
      </c>
      <c r="B5">
        <v>11896714.289999999</v>
      </c>
      <c r="C5">
        <v>11.89671429</v>
      </c>
      <c r="D5">
        <v>16.341736829999999</v>
      </c>
      <c r="E5" s="1">
        <v>-0.27200429099065299</v>
      </c>
      <c r="F5">
        <v>120539381.67999899</v>
      </c>
      <c r="G5">
        <v>120.539381679999</v>
      </c>
      <c r="H5">
        <v>120539381.67999899</v>
      </c>
      <c r="I5">
        <v>146244865.53</v>
      </c>
      <c r="J5" s="1">
        <v>-0.175770162985497</v>
      </c>
      <c r="K5">
        <v>120539381.67999899</v>
      </c>
      <c r="L5">
        <v>131744260.04098</v>
      </c>
      <c r="M5" s="1">
        <v>-8.5050220461184198E-2</v>
      </c>
      <c r="N5">
        <v>650856372.76000094</v>
      </c>
      <c r="O5">
        <v>650.85637276000102</v>
      </c>
      <c r="P5">
        <v>650856372.76000094</v>
      </c>
      <c r="Q5">
        <v>795221503.57000005</v>
      </c>
      <c r="R5" s="1">
        <v>-0.18154077846473901</v>
      </c>
      <c r="S5">
        <v>650856372.76000094</v>
      </c>
      <c r="T5">
        <v>662061251.12098205</v>
      </c>
      <c r="U5" s="1">
        <v>-1.6924232224751399E-2</v>
      </c>
    </row>
    <row r="6" spans="1:21" x14ac:dyDescent="0.3">
      <c r="A6" t="s">
        <v>17</v>
      </c>
      <c r="B6">
        <v>7026692.2699999996</v>
      </c>
      <c r="C6">
        <v>7.0266922699999999</v>
      </c>
      <c r="D6">
        <v>8.75364042</v>
      </c>
      <c r="E6" s="1">
        <v>-0.197283423483369</v>
      </c>
      <c r="F6">
        <v>71490082.739999697</v>
      </c>
      <c r="G6">
        <v>71.490082739999707</v>
      </c>
      <c r="H6">
        <v>71490082.739999697</v>
      </c>
      <c r="I6">
        <v>82431410.359999999</v>
      </c>
      <c r="J6" s="1">
        <v>-0.132732505391046</v>
      </c>
      <c r="K6">
        <v>71490082.739999697</v>
      </c>
      <c r="L6">
        <v>74218143.047896102</v>
      </c>
      <c r="M6" s="1">
        <v>-3.6757323692885299E-2</v>
      </c>
      <c r="N6">
        <v>393277695.36000198</v>
      </c>
      <c r="O6">
        <v>393.27769536000199</v>
      </c>
      <c r="P6">
        <v>393277695.36000198</v>
      </c>
      <c r="Q6">
        <v>462825808.17000002</v>
      </c>
      <c r="R6" s="1">
        <v>-0.15026844134943301</v>
      </c>
      <c r="S6">
        <v>393277695.36000198</v>
      </c>
      <c r="T6">
        <v>396005755.667898</v>
      </c>
      <c r="U6" s="1">
        <v>-6.8889410541401403E-3</v>
      </c>
    </row>
    <row r="7" spans="1:21" x14ac:dyDescent="0.3">
      <c r="A7" t="s">
        <v>18</v>
      </c>
      <c r="B7">
        <v>4870022.0199999996</v>
      </c>
      <c r="C7">
        <v>4.8700220200000004</v>
      </c>
      <c r="D7">
        <v>7.5880964100000003</v>
      </c>
      <c r="E7" s="1">
        <v>-0.35820240586531998</v>
      </c>
      <c r="F7">
        <v>49049298.939999901</v>
      </c>
      <c r="G7">
        <v>49.0492989399999</v>
      </c>
      <c r="H7">
        <v>49049298.939999901</v>
      </c>
      <c r="I7">
        <v>63813455.170000002</v>
      </c>
      <c r="J7" s="1">
        <v>-0.23136431322623199</v>
      </c>
      <c r="K7">
        <v>49049298.939999901</v>
      </c>
      <c r="L7">
        <v>57526116.993084602</v>
      </c>
      <c r="M7" s="1">
        <v>-0.147355992307001</v>
      </c>
      <c r="N7">
        <v>257578677.39999899</v>
      </c>
      <c r="O7">
        <v>257.57867739999898</v>
      </c>
      <c r="P7">
        <v>257578677.39999899</v>
      </c>
      <c r="Q7">
        <v>332395695.39999998</v>
      </c>
      <c r="R7" s="1">
        <v>-0.22508419644233499</v>
      </c>
      <c r="S7">
        <v>257578677.39999899</v>
      </c>
      <c r="T7">
        <v>266055495.45308399</v>
      </c>
      <c r="U7" s="1">
        <v>-3.1861089877691998E-2</v>
      </c>
    </row>
    <row r="8" spans="1:21" x14ac:dyDescent="0.3">
      <c r="A8" t="s">
        <v>19</v>
      </c>
      <c r="B8">
        <v>51583.7</v>
      </c>
      <c r="C8">
        <v>5.1583700000000003E-2</v>
      </c>
      <c r="D8">
        <v>4.6746000000000003E-2</v>
      </c>
      <c r="E8" s="1">
        <v>0.10348906858340801</v>
      </c>
      <c r="F8">
        <v>254801.14</v>
      </c>
      <c r="G8">
        <v>0.25480113999999998</v>
      </c>
      <c r="H8">
        <v>254801.14</v>
      </c>
      <c r="I8">
        <v>249303.94</v>
      </c>
      <c r="J8" s="1">
        <v>2.20501930294403E-2</v>
      </c>
      <c r="K8">
        <v>254801.14</v>
      </c>
      <c r="L8">
        <v>79265.4260692307</v>
      </c>
      <c r="M8" s="1">
        <v>2.2145306300057599</v>
      </c>
      <c r="N8">
        <v>1601749.37</v>
      </c>
      <c r="O8">
        <v>1.6017493700000001</v>
      </c>
      <c r="P8">
        <v>1601749.37</v>
      </c>
      <c r="Q8">
        <v>1318707.6599999999</v>
      </c>
      <c r="R8" s="1">
        <v>0.21463567596172201</v>
      </c>
      <c r="S8">
        <v>1601749.37</v>
      </c>
      <c r="T8">
        <v>1426213.6560692301</v>
      </c>
      <c r="U8" s="1">
        <v>0.123078132917729</v>
      </c>
    </row>
    <row r="9" spans="1:21" x14ac:dyDescent="0.3">
      <c r="A9" t="s">
        <v>20</v>
      </c>
      <c r="B9">
        <v>9503305.3099999893</v>
      </c>
      <c r="C9">
        <v>9.5033053099999893</v>
      </c>
      <c r="D9">
        <v>8.7331285899999997</v>
      </c>
      <c r="E9" s="1">
        <v>8.8190241568399705E-2</v>
      </c>
      <c r="F9">
        <v>71521578.299999997</v>
      </c>
      <c r="G9">
        <v>71.521578300000002</v>
      </c>
      <c r="H9">
        <v>71521578.299999997</v>
      </c>
      <c r="I9">
        <v>85216665.329999998</v>
      </c>
      <c r="J9" s="1">
        <v>-0.160709023017575</v>
      </c>
      <c r="K9">
        <v>71521578.299999997</v>
      </c>
      <c r="L9">
        <v>78425255.371169195</v>
      </c>
      <c r="M9" s="1">
        <v>-8.8028748373156704E-2</v>
      </c>
      <c r="N9">
        <v>330533783.17999798</v>
      </c>
      <c r="O9">
        <v>330.53378317999801</v>
      </c>
      <c r="P9">
        <v>330533783.17999798</v>
      </c>
      <c r="Q9">
        <v>375058318.31</v>
      </c>
      <c r="R9" s="1">
        <v>-0.118713631870977</v>
      </c>
      <c r="S9">
        <v>330533783.17999798</v>
      </c>
      <c r="T9">
        <v>337437460.25116801</v>
      </c>
      <c r="U9" s="1">
        <v>-2.0459130607581501E-2</v>
      </c>
    </row>
    <row r="10" spans="1:21" x14ac:dyDescent="0.3">
      <c r="A10" t="s">
        <v>21</v>
      </c>
      <c r="B10">
        <v>9497183.8099999893</v>
      </c>
      <c r="C10">
        <v>9.4971838099999903</v>
      </c>
      <c r="D10">
        <v>8.6600026000000003</v>
      </c>
      <c r="E10" s="1">
        <v>9.6672166126139297E-2</v>
      </c>
      <c r="F10">
        <v>71320886.200000003</v>
      </c>
      <c r="G10">
        <v>71.320886200000004</v>
      </c>
      <c r="H10">
        <v>71320886.200000003</v>
      </c>
      <c r="I10">
        <v>85070296.039999902</v>
      </c>
      <c r="J10" s="1">
        <v>-0.16162409771719799</v>
      </c>
      <c r="K10">
        <v>71320886.200000003</v>
      </c>
      <c r="L10">
        <v>78059021.534796104</v>
      </c>
      <c r="M10" s="1">
        <v>-8.6321032499651396E-2</v>
      </c>
      <c r="N10">
        <v>329947913.55999798</v>
      </c>
      <c r="O10">
        <v>329.94791355999803</v>
      </c>
      <c r="P10">
        <v>329947913.55999798</v>
      </c>
      <c r="Q10">
        <v>374564293.81999999</v>
      </c>
      <c r="R10" s="1">
        <v>-0.11911541221663199</v>
      </c>
      <c r="S10">
        <v>329947913.55999798</v>
      </c>
      <c r="T10">
        <v>336686048.89479399</v>
      </c>
      <c r="U10" s="1">
        <v>-2.0013111196364598E-2</v>
      </c>
    </row>
    <row r="11" spans="1:21" x14ac:dyDescent="0.3">
      <c r="A11" t="s">
        <v>17</v>
      </c>
      <c r="B11">
        <v>3231086.52999999</v>
      </c>
      <c r="C11">
        <v>3.23108652999999</v>
      </c>
      <c r="D11">
        <v>3.78222893</v>
      </c>
      <c r="E11" s="1">
        <v>-0.14571894250726899</v>
      </c>
      <c r="F11">
        <v>29486929.850000001</v>
      </c>
      <c r="G11">
        <v>29.486929849999999</v>
      </c>
      <c r="H11">
        <v>29486929.850000001</v>
      </c>
      <c r="I11">
        <v>34681748.960000001</v>
      </c>
      <c r="J11" s="1">
        <v>-0.149785384698776</v>
      </c>
      <c r="K11">
        <v>29486929.850000001</v>
      </c>
      <c r="L11">
        <v>32164301.5363423</v>
      </c>
      <c r="M11" s="1">
        <v>-8.3240473396169995E-2</v>
      </c>
      <c r="N11">
        <v>149119965.78999799</v>
      </c>
      <c r="O11">
        <v>149.11996578999799</v>
      </c>
      <c r="P11">
        <v>149119965.78999799</v>
      </c>
      <c r="Q11">
        <v>168690331.43000001</v>
      </c>
      <c r="R11" s="1">
        <v>-0.116013558537125</v>
      </c>
      <c r="S11">
        <v>149119965.78999799</v>
      </c>
      <c r="T11">
        <v>151797337.47634101</v>
      </c>
      <c r="U11" s="1">
        <v>-1.76378040014014E-2</v>
      </c>
    </row>
    <row r="12" spans="1:21" x14ac:dyDescent="0.3">
      <c r="A12" t="s">
        <v>18</v>
      </c>
      <c r="B12">
        <v>6266097.2800000003</v>
      </c>
      <c r="C12">
        <v>6.2660972800000003</v>
      </c>
      <c r="D12">
        <v>4.8777736699999998</v>
      </c>
      <c r="E12" s="1">
        <v>0.28462239208405099</v>
      </c>
      <c r="F12">
        <v>41833956.350000001</v>
      </c>
      <c r="G12">
        <v>41.833956350000001</v>
      </c>
      <c r="H12">
        <v>41833956.350000001</v>
      </c>
      <c r="I12">
        <v>50388547.079999998</v>
      </c>
      <c r="J12" s="1">
        <v>-0.16977252224435399</v>
      </c>
      <c r="K12">
        <v>41833956.350000001</v>
      </c>
      <c r="L12">
        <v>45894719.998453803</v>
      </c>
      <c r="M12" s="1">
        <v>-8.8479974354144397E-2</v>
      </c>
      <c r="N12">
        <v>180827947.77000001</v>
      </c>
      <c r="O12">
        <v>180.82794777000001</v>
      </c>
      <c r="P12">
        <v>180827947.77000001</v>
      </c>
      <c r="Q12">
        <v>205873962.38999999</v>
      </c>
      <c r="R12" s="1">
        <v>-0.12165702903485</v>
      </c>
      <c r="S12">
        <v>180827947.77000001</v>
      </c>
      <c r="T12">
        <v>184888711.41845301</v>
      </c>
      <c r="U12" s="1">
        <v>-2.1963286007565901E-2</v>
      </c>
    </row>
    <row r="13" spans="1:21" x14ac:dyDescent="0.3">
      <c r="A13" t="s">
        <v>22</v>
      </c>
      <c r="B13">
        <v>6121.5</v>
      </c>
      <c r="C13">
        <v>6.1215000000000002E-3</v>
      </c>
      <c r="D13">
        <v>7.3125990000000002E-2</v>
      </c>
      <c r="E13" s="1">
        <v>-0.91628831281463596</v>
      </c>
      <c r="F13">
        <v>200692.1</v>
      </c>
      <c r="G13">
        <v>0.20069210000000001</v>
      </c>
      <c r="H13">
        <v>200692.1</v>
      </c>
      <c r="I13">
        <v>146369.29</v>
      </c>
      <c r="J13" s="1">
        <v>0.37113529757505798</v>
      </c>
      <c r="K13">
        <v>200692.1</v>
      </c>
      <c r="L13">
        <v>366233.83637307602</v>
      </c>
      <c r="M13" s="1">
        <v>-0.45201103757229499</v>
      </c>
      <c r="N13">
        <v>585869.62</v>
      </c>
      <c r="O13">
        <v>0.58586961999999998</v>
      </c>
      <c r="P13">
        <v>585869.62</v>
      </c>
      <c r="Q13">
        <v>494024.49</v>
      </c>
      <c r="R13" s="1">
        <v>0.18591209921597199</v>
      </c>
      <c r="S13">
        <v>585869.62</v>
      </c>
      <c r="T13">
        <v>751411.35637307703</v>
      </c>
      <c r="U13" s="1">
        <v>-0.22030773819032501</v>
      </c>
    </row>
    <row r="14" spans="1:21" x14ac:dyDescent="0.3">
      <c r="A14" t="s">
        <v>32</v>
      </c>
      <c r="B14">
        <v>15146576.890000001</v>
      </c>
      <c r="C14">
        <v>15.14657689</v>
      </c>
      <c r="D14">
        <v>17.674724560000001</v>
      </c>
      <c r="E14" s="1">
        <v>-0.14303745789179001</v>
      </c>
      <c r="F14">
        <v>137864777.13999999</v>
      </c>
      <c r="G14">
        <v>137.86477714</v>
      </c>
      <c r="H14">
        <v>137864777.13999999</v>
      </c>
      <c r="I14">
        <v>166720027.11000001</v>
      </c>
      <c r="J14" s="1">
        <v>-0.1730760873195</v>
      </c>
      <c r="K14">
        <v>137864777.13999999</v>
      </c>
      <c r="L14">
        <v>149651508.91872299</v>
      </c>
      <c r="M14" s="1">
        <v>-7.8761195686469401E-2</v>
      </c>
      <c r="N14">
        <v>675900193.68000305</v>
      </c>
      <c r="O14">
        <v>675.90019368000299</v>
      </c>
      <c r="P14">
        <v>675900193.68000305</v>
      </c>
      <c r="Q14">
        <v>841523737.48999906</v>
      </c>
      <c r="R14" s="1">
        <v>-0.196813870401326</v>
      </c>
      <c r="S14">
        <v>675900193.68000305</v>
      </c>
      <c r="T14">
        <v>687686925.45872605</v>
      </c>
      <c r="U14" s="1">
        <v>-1.7139676998891001E-2</v>
      </c>
    </row>
    <row r="15" spans="1:21" x14ac:dyDescent="0.3">
      <c r="A15" t="s">
        <v>33</v>
      </c>
      <c r="B15">
        <v>15146576.890000001</v>
      </c>
      <c r="C15">
        <v>15.14657689</v>
      </c>
      <c r="D15">
        <v>17.666855859999998</v>
      </c>
      <c r="E15" s="1">
        <v>-0.14265577247993599</v>
      </c>
      <c r="F15">
        <v>137671313.86000001</v>
      </c>
      <c r="G15">
        <v>137.67131386</v>
      </c>
      <c r="H15">
        <v>137671313.86000001</v>
      </c>
      <c r="I15">
        <v>166305880.69</v>
      </c>
      <c r="J15" s="1">
        <v>-0.17218012202091401</v>
      </c>
      <c r="K15">
        <v>137671313.86000001</v>
      </c>
      <c r="L15">
        <v>149300803.484561</v>
      </c>
      <c r="M15" s="1">
        <v>-7.7893014325029902E-2</v>
      </c>
      <c r="N15">
        <v>672435649.66000295</v>
      </c>
      <c r="O15">
        <v>672.43564966000304</v>
      </c>
      <c r="P15">
        <v>672435649.66000295</v>
      </c>
      <c r="Q15">
        <v>840256957.07999897</v>
      </c>
      <c r="R15" s="1">
        <v>-0.19972617424459899</v>
      </c>
      <c r="S15">
        <v>672435649.66000295</v>
      </c>
      <c r="T15">
        <v>684065139.28456402</v>
      </c>
      <c r="U15" s="1">
        <v>-1.7000558801643102E-2</v>
      </c>
    </row>
    <row r="16" spans="1:21" x14ac:dyDescent="0.3">
      <c r="A16" t="s">
        <v>17</v>
      </c>
      <c r="B16">
        <v>6470616.7999999896</v>
      </c>
      <c r="C16">
        <v>6.4706167999999904</v>
      </c>
      <c r="D16">
        <v>7.2481166699999999</v>
      </c>
      <c r="E16" s="1">
        <v>-0.107269226669332</v>
      </c>
      <c r="F16">
        <v>60644562.169999897</v>
      </c>
      <c r="G16">
        <v>60.644562169999901</v>
      </c>
      <c r="H16">
        <v>60644562.169999897</v>
      </c>
      <c r="I16">
        <v>70995640.700000003</v>
      </c>
      <c r="J16" s="1">
        <v>-0.14579879029107801</v>
      </c>
      <c r="K16">
        <v>60644562.169999897</v>
      </c>
      <c r="L16">
        <v>63458229.257734597</v>
      </c>
      <c r="M16" s="1">
        <v>-4.4338884344014402E-2</v>
      </c>
      <c r="N16">
        <v>316627690.24000299</v>
      </c>
      <c r="O16">
        <v>316.62769024000301</v>
      </c>
      <c r="P16">
        <v>316627690.24000299</v>
      </c>
      <c r="Q16">
        <v>373932590.95999998</v>
      </c>
      <c r="R16" s="1">
        <v>-0.15324928103452201</v>
      </c>
      <c r="S16">
        <v>316627690.24000299</v>
      </c>
      <c r="T16">
        <v>319441357.32773799</v>
      </c>
      <c r="U16" s="1">
        <v>-8.8080864396274505E-3</v>
      </c>
    </row>
    <row r="17" spans="1:21" x14ac:dyDescent="0.3">
      <c r="A17" t="s">
        <v>18</v>
      </c>
      <c r="B17">
        <v>8675960.0899999999</v>
      </c>
      <c r="C17">
        <v>8.6759600900000002</v>
      </c>
      <c r="D17">
        <v>10.41873919</v>
      </c>
      <c r="E17" s="1">
        <v>-0.16727351248726199</v>
      </c>
      <c r="F17">
        <v>77026751.690000102</v>
      </c>
      <c r="G17">
        <v>77.026751690000097</v>
      </c>
      <c r="H17">
        <v>77026751.690000102</v>
      </c>
      <c r="I17">
        <v>95310239.989999905</v>
      </c>
      <c r="J17" s="1">
        <v>-0.19183131111534399</v>
      </c>
      <c r="K17">
        <v>77026751.690000102</v>
      </c>
      <c r="L17">
        <v>85842574.226826906</v>
      </c>
      <c r="M17" s="1">
        <v>-0.102697555568781</v>
      </c>
      <c r="N17">
        <v>355807959.419999</v>
      </c>
      <c r="O17">
        <v>355.80795941999901</v>
      </c>
      <c r="P17">
        <v>355807959.419999</v>
      </c>
      <c r="Q17">
        <v>466324366.12</v>
      </c>
      <c r="R17" s="1">
        <v>-0.23699470739549799</v>
      </c>
      <c r="S17">
        <v>355807959.419999</v>
      </c>
      <c r="T17">
        <v>364623781.95682597</v>
      </c>
      <c r="U17" s="1">
        <v>-2.4177859407619798E-2</v>
      </c>
    </row>
    <row r="18" spans="1:21" x14ac:dyDescent="0.3">
      <c r="A18" t="s">
        <v>34</v>
      </c>
      <c r="B18">
        <v>0</v>
      </c>
      <c r="C18">
        <v>0</v>
      </c>
      <c r="D18">
        <v>7.8686999999999993E-3</v>
      </c>
      <c r="E18" s="1">
        <v>-1</v>
      </c>
      <c r="F18">
        <v>193463.28</v>
      </c>
      <c r="G18">
        <v>0.19346327999999999</v>
      </c>
      <c r="H18">
        <v>193463.28</v>
      </c>
      <c r="I18">
        <v>414146.42</v>
      </c>
      <c r="J18" s="1">
        <v>-0.53286260448659595</v>
      </c>
      <c r="K18">
        <v>193463.28</v>
      </c>
      <c r="L18">
        <v>350705.43416153803</v>
      </c>
      <c r="M18" s="1">
        <v>-0.44835961706002803</v>
      </c>
      <c r="N18">
        <v>3464544.02</v>
      </c>
      <c r="O18">
        <v>3.4645440199999999</v>
      </c>
      <c r="P18">
        <v>3464544.02</v>
      </c>
      <c r="Q18">
        <v>1266780.4099999999</v>
      </c>
      <c r="R18" s="1">
        <v>1.7349207428933899</v>
      </c>
      <c r="S18">
        <v>3464544.02</v>
      </c>
      <c r="T18">
        <v>3621786.1741615301</v>
      </c>
      <c r="U18" s="1">
        <v>-4.3415637091811801E-2</v>
      </c>
    </row>
    <row r="19" spans="1:21" s="3" customFormat="1" x14ac:dyDescent="0.3">
      <c r="A19" s="3" t="s">
        <v>38</v>
      </c>
      <c r="B19" s="3">
        <f>B20+B25+B30</f>
        <v>35967746.519999996</v>
      </c>
      <c r="C19" s="3">
        <f>B19/1000000</f>
        <v>35.967746519999999</v>
      </c>
      <c r="D19" s="3">
        <f>D20+D25+D30</f>
        <v>40.245050929999998</v>
      </c>
      <c r="E19" s="4">
        <f>(C19-D19)/D19</f>
        <v>-0.10628150073507683</v>
      </c>
      <c r="F19" s="3">
        <f>F20+F25+F30</f>
        <v>327675887.75999987</v>
      </c>
      <c r="G19" s="3">
        <f>F19/1000000</f>
        <v>327.67588775999985</v>
      </c>
      <c r="H19" s="3">
        <f>H20+H25+H30</f>
        <v>327675887.75999987</v>
      </c>
      <c r="I19" s="3">
        <f>I20+I25+I30</f>
        <v>360839839.65999991</v>
      </c>
      <c r="J19" s="4">
        <f>(H19-I19)/I19</f>
        <v>-9.1907678296411652E-2</v>
      </c>
      <c r="K19" s="3">
        <f>K20+K25+K30</f>
        <v>327675887.75999987</v>
      </c>
      <c r="L19" s="3">
        <f>L20+L25+L30</f>
        <v>337499350.03624213</v>
      </c>
      <c r="M19" s="4">
        <f>(K19-L19)/L19</f>
        <v>-2.91066109466207E-2</v>
      </c>
      <c r="N19" s="3">
        <f>N20+N25+N30</f>
        <v>1579427872.3900011</v>
      </c>
      <c r="O19" s="3">
        <f>N19/1000000</f>
        <v>1579.4278723900011</v>
      </c>
      <c r="P19" s="3">
        <f>P20+P25+P30</f>
        <v>1579427872.3900011</v>
      </c>
      <c r="Q19" s="3">
        <f>Q20+Q25+Q30</f>
        <v>1897595141.24</v>
      </c>
      <c r="R19" s="4">
        <f>(P19-Q19)/Q19</f>
        <v>-0.16766867807328478</v>
      </c>
      <c r="S19" s="3">
        <f>S20+S25+S30</f>
        <v>1579427872.3900011</v>
      </c>
      <c r="T19" s="3">
        <f>T20+T25+T30</f>
        <v>1589251334.666244</v>
      </c>
      <c r="U19" s="4">
        <f>(S19-T19)/T19</f>
        <v>-6.1811886276036884E-3</v>
      </c>
    </row>
    <row r="20" spans="1:21" x14ac:dyDescent="0.3">
      <c r="A20" t="s">
        <v>23</v>
      </c>
      <c r="B20">
        <v>8952032.6799999997</v>
      </c>
      <c r="C20">
        <v>8.9520326800000003</v>
      </c>
      <c r="D20">
        <v>7.9662621700000003</v>
      </c>
      <c r="E20" s="1">
        <v>0.12374316699145201</v>
      </c>
      <c r="F20">
        <v>76019710.299999997</v>
      </c>
      <c r="G20">
        <v>76.0197103</v>
      </c>
      <c r="H20">
        <v>76019710.299999997</v>
      </c>
      <c r="I20">
        <v>74744029.439999998</v>
      </c>
      <c r="J20" s="1">
        <v>1.7067327913115299E-2</v>
      </c>
      <c r="K20">
        <v>76019710.299999997</v>
      </c>
      <c r="L20">
        <v>71578675.081569195</v>
      </c>
      <c r="M20" s="1">
        <v>6.2044110391396699E-2</v>
      </c>
      <c r="N20">
        <v>324960976.67999899</v>
      </c>
      <c r="O20">
        <v>324.96097667999902</v>
      </c>
      <c r="P20">
        <v>324960976.67999899</v>
      </c>
      <c r="Q20">
        <v>388294821.36000001</v>
      </c>
      <c r="R20" s="1">
        <v>-0.16310762131252199</v>
      </c>
      <c r="S20">
        <v>324960976.67999899</v>
      </c>
      <c r="T20">
        <v>320519941.46156901</v>
      </c>
      <c r="U20" s="1">
        <v>1.3855722043937899E-2</v>
      </c>
    </row>
    <row r="21" spans="1:21" x14ac:dyDescent="0.3">
      <c r="A21" t="s">
        <v>24</v>
      </c>
      <c r="B21">
        <v>8886299.0999999996</v>
      </c>
      <c r="C21">
        <v>8.8862991000000005</v>
      </c>
      <c r="D21">
        <v>7.9328046700000003</v>
      </c>
      <c r="E21" s="1">
        <v>0.120196383204277</v>
      </c>
      <c r="F21">
        <v>74998629.329999998</v>
      </c>
      <c r="G21">
        <v>74.99862933</v>
      </c>
      <c r="H21">
        <v>74998629.329999998</v>
      </c>
      <c r="I21">
        <v>74487752.039999902</v>
      </c>
      <c r="J21" s="1">
        <v>6.8585408474361601E-3</v>
      </c>
      <c r="K21">
        <v>74998629.329999998</v>
      </c>
      <c r="L21">
        <v>70708210.084161505</v>
      </c>
      <c r="M21" s="1">
        <v>6.0677808711771301E-2</v>
      </c>
      <c r="N21">
        <v>322153961.11999899</v>
      </c>
      <c r="O21">
        <v>322.153961119999</v>
      </c>
      <c r="P21">
        <v>322153961.11999899</v>
      </c>
      <c r="Q21">
        <v>386633085.92000002</v>
      </c>
      <c r="R21" s="1">
        <v>-0.16677084074833101</v>
      </c>
      <c r="S21">
        <v>322153961.11999899</v>
      </c>
      <c r="T21">
        <v>317863541.87416101</v>
      </c>
      <c r="U21" s="1">
        <v>1.3497676457456E-2</v>
      </c>
    </row>
    <row r="22" spans="1:21" x14ac:dyDescent="0.3">
      <c r="A22" t="s">
        <v>17</v>
      </c>
      <c r="B22">
        <v>2770545.76</v>
      </c>
      <c r="C22">
        <v>2.7705457600000001</v>
      </c>
      <c r="D22">
        <v>2.8757926999999999</v>
      </c>
      <c r="E22" s="1">
        <v>-3.6597540566815003E-2</v>
      </c>
      <c r="F22">
        <v>27123062.929999899</v>
      </c>
      <c r="G22">
        <v>27.1230629299999</v>
      </c>
      <c r="H22">
        <v>27123062.929999899</v>
      </c>
      <c r="I22">
        <v>28537544.460000001</v>
      </c>
      <c r="J22" s="1">
        <v>-4.95656356132054E-2</v>
      </c>
      <c r="K22">
        <v>27123062.929999899</v>
      </c>
      <c r="L22">
        <v>25560888.462423</v>
      </c>
      <c r="M22" s="1">
        <v>6.1115812538107203E-2</v>
      </c>
      <c r="N22">
        <v>131723181.36999901</v>
      </c>
      <c r="O22">
        <v>131.723181369999</v>
      </c>
      <c r="P22">
        <v>131723181.36999901</v>
      </c>
      <c r="Q22">
        <v>152703697.72999999</v>
      </c>
      <c r="R22" s="1">
        <v>-0.137393636643277</v>
      </c>
      <c r="S22">
        <v>131723181.36999901</v>
      </c>
      <c r="T22">
        <v>130161006.902422</v>
      </c>
      <c r="U22" s="1">
        <v>1.20018621917087E-2</v>
      </c>
    </row>
    <row r="23" spans="1:21" x14ac:dyDescent="0.3">
      <c r="A23" t="s">
        <v>18</v>
      </c>
      <c r="B23">
        <v>6115753.3399999999</v>
      </c>
      <c r="C23">
        <v>6.1157533399999897</v>
      </c>
      <c r="D23">
        <v>5.0570119699999996</v>
      </c>
      <c r="E23" s="1">
        <v>0.20936105674276201</v>
      </c>
      <c r="F23">
        <v>47875566.399999999</v>
      </c>
      <c r="G23">
        <v>47.875566399999997</v>
      </c>
      <c r="H23">
        <v>47875566.399999999</v>
      </c>
      <c r="I23">
        <v>45950207.579999998</v>
      </c>
      <c r="J23" s="1">
        <v>4.19009819846397E-2</v>
      </c>
      <c r="K23">
        <v>47875566.399999999</v>
      </c>
      <c r="L23">
        <v>45147321.621738397</v>
      </c>
      <c r="M23" s="1">
        <v>6.0429825740712803E-2</v>
      </c>
      <c r="N23">
        <v>190430779.75</v>
      </c>
      <c r="O23">
        <v>190.43077975</v>
      </c>
      <c r="P23">
        <v>190430779.75</v>
      </c>
      <c r="Q23">
        <v>233929388.19</v>
      </c>
      <c r="R23" s="1">
        <v>-0.18594760058394</v>
      </c>
      <c r="S23">
        <v>190430779.75</v>
      </c>
      <c r="T23">
        <v>187702534.97173801</v>
      </c>
      <c r="U23" s="1">
        <v>1.45349383729545E-2</v>
      </c>
    </row>
    <row r="24" spans="1:21" x14ac:dyDescent="0.3">
      <c r="A24" t="s">
        <v>25</v>
      </c>
      <c r="B24">
        <v>65733.58</v>
      </c>
      <c r="C24">
        <v>6.573358E-2</v>
      </c>
      <c r="D24">
        <v>3.3457500000000001E-2</v>
      </c>
      <c r="E24" s="1">
        <v>0.96468893372188502</v>
      </c>
      <c r="F24">
        <v>1021080.97</v>
      </c>
      <c r="G24">
        <v>1.0210809700000001</v>
      </c>
      <c r="H24">
        <v>1021080.97</v>
      </c>
      <c r="I24">
        <v>256277.4</v>
      </c>
      <c r="J24" s="1">
        <v>2.9842801979417599</v>
      </c>
      <c r="K24">
        <v>1021080.97</v>
      </c>
      <c r="L24">
        <v>870464.99740769202</v>
      </c>
      <c r="M24" s="1">
        <v>0.17302932690097</v>
      </c>
      <c r="N24">
        <v>2807015.56</v>
      </c>
      <c r="O24">
        <v>2.80701556</v>
      </c>
      <c r="P24">
        <v>2807015.56</v>
      </c>
      <c r="Q24">
        <v>1661735.44</v>
      </c>
      <c r="R24" s="1">
        <v>0.68920725431480201</v>
      </c>
      <c r="S24">
        <v>2807015.56</v>
      </c>
      <c r="T24">
        <v>2656399.58740769</v>
      </c>
      <c r="U24" s="1">
        <v>5.6699290764191702E-2</v>
      </c>
    </row>
    <row r="25" spans="1:21" x14ac:dyDescent="0.3">
      <c r="A25" t="s">
        <v>26</v>
      </c>
      <c r="B25">
        <v>10088518.08</v>
      </c>
      <c r="C25">
        <v>10.08851808</v>
      </c>
      <c r="D25">
        <v>11.978942890000001</v>
      </c>
      <c r="E25" s="1">
        <v>-0.157812323454528</v>
      </c>
      <c r="F25">
        <v>92368976.069999903</v>
      </c>
      <c r="G25">
        <v>92.368976069999903</v>
      </c>
      <c r="H25">
        <v>92368976.069999903</v>
      </c>
      <c r="I25">
        <v>99881181.349999905</v>
      </c>
      <c r="J25" s="1">
        <v>-7.5211417991503604E-2</v>
      </c>
      <c r="K25">
        <v>92368976.069999903</v>
      </c>
      <c r="L25">
        <v>98939970.848276898</v>
      </c>
      <c r="M25" s="1">
        <v>-6.6413955067295305E-2</v>
      </c>
      <c r="N25">
        <v>399099825.57999903</v>
      </c>
      <c r="O25">
        <v>399.09982557999899</v>
      </c>
      <c r="P25">
        <v>399099825.57999903</v>
      </c>
      <c r="Q25">
        <v>496609158.83999997</v>
      </c>
      <c r="R25" s="1">
        <v>-0.19635025154946101</v>
      </c>
      <c r="S25">
        <v>399099825.57999903</v>
      </c>
      <c r="T25">
        <v>405670820.35827601</v>
      </c>
      <c r="U25" s="1">
        <v>-1.6197849212998799E-2</v>
      </c>
    </row>
    <row r="26" spans="1:21" x14ac:dyDescent="0.3">
      <c r="A26" t="s">
        <v>27</v>
      </c>
      <c r="B26">
        <v>10072083.48</v>
      </c>
      <c r="C26">
        <v>10.07208348</v>
      </c>
      <c r="D26">
        <v>11.73490659</v>
      </c>
      <c r="E26" s="1">
        <v>-0.141698879087541</v>
      </c>
      <c r="F26">
        <v>91576476.249999896</v>
      </c>
      <c r="G26">
        <v>91.576476249999899</v>
      </c>
      <c r="H26">
        <v>91576476.249999896</v>
      </c>
      <c r="I26">
        <v>99060946.849999905</v>
      </c>
      <c r="J26" s="1">
        <v>-7.5554200095958604E-2</v>
      </c>
      <c r="K26">
        <v>91576476.249999896</v>
      </c>
      <c r="L26">
        <v>98098690.550549999</v>
      </c>
      <c r="M26" s="1">
        <v>-6.6486252405063007E-2</v>
      </c>
      <c r="N26">
        <v>395464294.13999897</v>
      </c>
      <c r="O26">
        <v>395.46429413999903</v>
      </c>
      <c r="P26">
        <v>395464294.13999897</v>
      </c>
      <c r="Q26">
        <v>493395070.23000002</v>
      </c>
      <c r="R26" s="1">
        <v>-0.19848349122002501</v>
      </c>
      <c r="S26">
        <v>395464294.13999897</v>
      </c>
      <c r="T26">
        <v>401986508.44054902</v>
      </c>
      <c r="U26" s="1">
        <v>-1.6224958210294099E-2</v>
      </c>
    </row>
    <row r="27" spans="1:21" x14ac:dyDescent="0.3">
      <c r="A27" t="s">
        <v>17</v>
      </c>
      <c r="B27">
        <v>3563916.57</v>
      </c>
      <c r="C27">
        <v>3.56391657</v>
      </c>
      <c r="D27">
        <v>3.70698455</v>
      </c>
      <c r="E27" s="1">
        <v>-3.8594166787126002E-2</v>
      </c>
      <c r="F27">
        <v>32794007.5499999</v>
      </c>
      <c r="G27">
        <v>32.794007549999897</v>
      </c>
      <c r="H27">
        <v>32794007.5499999</v>
      </c>
      <c r="I27">
        <v>36435524.369999997</v>
      </c>
      <c r="J27" s="1">
        <v>-9.9944130981091395E-2</v>
      </c>
      <c r="K27">
        <v>32794007.5499999</v>
      </c>
      <c r="L27">
        <v>33452588.4975807</v>
      </c>
      <c r="M27" s="1">
        <v>-1.96869951522117E-2</v>
      </c>
      <c r="N27">
        <v>162557162.33999899</v>
      </c>
      <c r="O27">
        <v>162.557162339999</v>
      </c>
      <c r="P27">
        <v>162557162.33999899</v>
      </c>
      <c r="Q27">
        <v>190244828.47</v>
      </c>
      <c r="R27" s="1">
        <v>-0.14553702380596401</v>
      </c>
      <c r="S27">
        <v>162557162.33999899</v>
      </c>
      <c r="T27">
        <v>163215743.28758001</v>
      </c>
      <c r="U27" s="1">
        <v>-4.0350332285067399E-3</v>
      </c>
    </row>
    <row r="28" spans="1:21" x14ac:dyDescent="0.3">
      <c r="A28" t="s">
        <v>18</v>
      </c>
      <c r="B28">
        <v>6508166.9100000001</v>
      </c>
      <c r="C28">
        <v>6.5081669099999999</v>
      </c>
      <c r="D28">
        <v>8.02792204</v>
      </c>
      <c r="E28" s="1">
        <v>-0.18930865576766301</v>
      </c>
      <c r="F28">
        <v>58782468.700000003</v>
      </c>
      <c r="G28">
        <v>58.782468700000003</v>
      </c>
      <c r="H28">
        <v>58782468.700000003</v>
      </c>
      <c r="I28">
        <v>62625422.479999997</v>
      </c>
      <c r="J28" s="1">
        <v>-6.1364117443315797E-2</v>
      </c>
      <c r="K28">
        <v>58782468.700000003</v>
      </c>
      <c r="L28">
        <v>64646102.052969202</v>
      </c>
      <c r="M28" s="1">
        <v>-9.0703587173202399E-2</v>
      </c>
      <c r="N28">
        <v>232907131.799999</v>
      </c>
      <c r="O28">
        <v>232.90713179999901</v>
      </c>
      <c r="P28">
        <v>232907131.799999</v>
      </c>
      <c r="Q28">
        <v>303150241.75999999</v>
      </c>
      <c r="R28" s="1">
        <v>-0.231710552339294</v>
      </c>
      <c r="S28">
        <v>232907131.799999</v>
      </c>
      <c r="T28">
        <v>238770765.152969</v>
      </c>
      <c r="U28" s="1">
        <v>-2.4557584967375201E-2</v>
      </c>
    </row>
    <row r="29" spans="1:21" x14ac:dyDescent="0.3">
      <c r="A29" t="s">
        <v>28</v>
      </c>
      <c r="B29">
        <v>16434.599999999999</v>
      </c>
      <c r="C29">
        <v>1.6434600000000001E-2</v>
      </c>
      <c r="D29">
        <v>0.24403630000000001</v>
      </c>
      <c r="E29" s="1">
        <v>-0.93265510090097203</v>
      </c>
      <c r="F29">
        <v>792499.81999999902</v>
      </c>
      <c r="G29">
        <v>0.79249981999999997</v>
      </c>
      <c r="H29">
        <v>792499.81999999902</v>
      </c>
      <c r="I29">
        <v>820234.5</v>
      </c>
      <c r="J29" s="1">
        <v>-3.3813110762836898E-2</v>
      </c>
      <c r="K29">
        <v>792499.81999999902</v>
      </c>
      <c r="L29">
        <v>841280.29772692302</v>
      </c>
      <c r="M29" s="1">
        <v>-5.7983620748904501E-2</v>
      </c>
      <c r="N29">
        <v>3635531.4399999902</v>
      </c>
      <c r="O29">
        <v>3.6355314399999901</v>
      </c>
      <c r="P29">
        <v>3635531.4399999902</v>
      </c>
      <c r="Q29">
        <v>3214088.61</v>
      </c>
      <c r="R29" s="1">
        <v>0.13112358778434499</v>
      </c>
      <c r="S29">
        <v>3635531.4399999902</v>
      </c>
      <c r="T29">
        <v>3684311.91772692</v>
      </c>
      <c r="U29" s="1">
        <v>-1.3240051009855499E-2</v>
      </c>
    </row>
    <row r="30" spans="1:21" x14ac:dyDescent="0.3">
      <c r="A30" t="s">
        <v>29</v>
      </c>
      <c r="B30">
        <v>16927195.760000002</v>
      </c>
      <c r="C30">
        <v>16.92719576</v>
      </c>
      <c r="D30">
        <v>20.299845869999999</v>
      </c>
      <c r="E30" s="1">
        <v>-0.16614166095636401</v>
      </c>
      <c r="F30">
        <v>159287201.38999999</v>
      </c>
      <c r="G30">
        <v>159.28720139000001</v>
      </c>
      <c r="H30">
        <v>159287201.38999999</v>
      </c>
      <c r="I30">
        <v>186214628.87</v>
      </c>
      <c r="J30" s="1">
        <v>-0.14460425393752799</v>
      </c>
      <c r="K30">
        <v>159287201.38999999</v>
      </c>
      <c r="L30">
        <v>166980704.10639599</v>
      </c>
      <c r="M30" s="1">
        <v>-4.6074202151489801E-2</v>
      </c>
      <c r="N30">
        <v>855367070.13000298</v>
      </c>
      <c r="O30">
        <v>855.36707013000296</v>
      </c>
      <c r="P30">
        <v>855367070.13000298</v>
      </c>
      <c r="Q30">
        <v>1012691161.04</v>
      </c>
      <c r="R30" s="1">
        <v>-0.155352487473505</v>
      </c>
      <c r="S30">
        <v>855367070.13000298</v>
      </c>
      <c r="T30">
        <v>863060572.84639895</v>
      </c>
      <c r="U30" s="1">
        <v>-8.9142094523247794E-3</v>
      </c>
    </row>
    <row r="31" spans="1:21" x14ac:dyDescent="0.3">
      <c r="A31" t="s">
        <v>30</v>
      </c>
      <c r="B31">
        <v>16901495.760000002</v>
      </c>
      <c r="C31">
        <v>16.90149576</v>
      </c>
      <c r="D31">
        <v>20.27108917</v>
      </c>
      <c r="E31" s="1">
        <v>-0.16622655949769</v>
      </c>
      <c r="F31">
        <v>158846201.34999999</v>
      </c>
      <c r="G31">
        <v>158.84620135</v>
      </c>
      <c r="H31">
        <v>158846201.34999999</v>
      </c>
      <c r="I31">
        <v>186096529.13</v>
      </c>
      <c r="J31" s="1">
        <v>-0.14643114467204199</v>
      </c>
      <c r="K31">
        <v>158846201.34999999</v>
      </c>
      <c r="L31">
        <v>166657521.42589599</v>
      </c>
      <c r="M31" s="1">
        <v>-4.68704923070003E-2</v>
      </c>
      <c r="N31">
        <v>853411878.07000303</v>
      </c>
      <c r="O31">
        <v>853.41187807000301</v>
      </c>
      <c r="P31">
        <v>853411878.07000303</v>
      </c>
      <c r="Q31">
        <v>1011349055.72</v>
      </c>
      <c r="R31" s="1">
        <v>-0.15616485402021499</v>
      </c>
      <c r="S31">
        <v>853411878.07000303</v>
      </c>
      <c r="T31">
        <v>861223198.14589906</v>
      </c>
      <c r="U31" s="1">
        <v>-9.0700298049482299E-3</v>
      </c>
    </row>
    <row r="32" spans="1:21" x14ac:dyDescent="0.3">
      <c r="A32" t="s">
        <v>17</v>
      </c>
      <c r="B32">
        <v>7527595.73999999</v>
      </c>
      <c r="C32">
        <v>7.52759573999999</v>
      </c>
      <c r="D32">
        <v>8.3380004699999901</v>
      </c>
      <c r="E32" s="1">
        <v>-9.7194133403544894E-2</v>
      </c>
      <c r="F32">
        <v>70749024.589999899</v>
      </c>
      <c r="G32">
        <v>70.749024589999905</v>
      </c>
      <c r="H32">
        <v>70749024.589999899</v>
      </c>
      <c r="I32">
        <v>79156239.959999904</v>
      </c>
      <c r="J32" s="1">
        <v>-0.10621039319513501</v>
      </c>
      <c r="K32">
        <v>70749024.589999899</v>
      </c>
      <c r="L32">
        <v>69885380.194696099</v>
      </c>
      <c r="M32" s="1">
        <v>1.23580124039916E-2</v>
      </c>
      <c r="N32">
        <v>386947399.12000299</v>
      </c>
      <c r="O32">
        <v>386.94739912000301</v>
      </c>
      <c r="P32">
        <v>386947399.12000299</v>
      </c>
      <c r="Q32">
        <v>447660050.01999998</v>
      </c>
      <c r="R32" s="1">
        <v>-0.135622222481734</v>
      </c>
      <c r="S32">
        <v>386947399.12000299</v>
      </c>
      <c r="T32">
        <v>386083754.72469902</v>
      </c>
      <c r="U32" s="1">
        <v>2.2369353404148198E-3</v>
      </c>
    </row>
    <row r="33" spans="1:21" x14ac:dyDescent="0.3">
      <c r="A33" t="s">
        <v>18</v>
      </c>
      <c r="B33">
        <v>9373900.0199999996</v>
      </c>
      <c r="C33">
        <v>9.37390001999999</v>
      </c>
      <c r="D33">
        <v>11.933088700000001</v>
      </c>
      <c r="E33" s="1">
        <v>-0.21446154841704901</v>
      </c>
      <c r="F33">
        <v>88097176.760000005</v>
      </c>
      <c r="G33">
        <v>88.097176759999996</v>
      </c>
      <c r="H33">
        <v>88097176.760000005</v>
      </c>
      <c r="I33">
        <v>106940289.17</v>
      </c>
      <c r="J33" s="1">
        <v>-0.17620218307101801</v>
      </c>
      <c r="K33">
        <v>88097176.760000005</v>
      </c>
      <c r="L33">
        <v>96772141.231199905</v>
      </c>
      <c r="M33" s="1">
        <v>-8.9643200623973296E-2</v>
      </c>
      <c r="N33">
        <v>466464478.94999999</v>
      </c>
      <c r="O33">
        <v>466.46447895</v>
      </c>
      <c r="P33">
        <v>466464478.94999999</v>
      </c>
      <c r="Q33">
        <v>563689005.69999897</v>
      </c>
      <c r="R33" s="1">
        <v>-0.17247901904573101</v>
      </c>
      <c r="S33">
        <v>466464478.94999999</v>
      </c>
      <c r="T33">
        <v>475139443.42119998</v>
      </c>
      <c r="U33" s="1">
        <v>-1.8257723266956301E-2</v>
      </c>
    </row>
    <row r="34" spans="1:21" x14ac:dyDescent="0.3">
      <c r="A34" t="s">
        <v>31</v>
      </c>
      <c r="B34">
        <v>25700</v>
      </c>
      <c r="C34">
        <v>2.5700000000000001E-2</v>
      </c>
      <c r="D34">
        <v>2.87567E-2</v>
      </c>
      <c r="E34" s="1">
        <v>-0.106295228590206</v>
      </c>
      <c r="F34">
        <v>441000.04</v>
      </c>
      <c r="G34">
        <v>0.44100003999999998</v>
      </c>
      <c r="H34">
        <v>441000.04</v>
      </c>
      <c r="I34">
        <v>118099.74</v>
      </c>
      <c r="J34" s="1">
        <v>2.7341321835255501</v>
      </c>
      <c r="K34">
        <v>441000.04</v>
      </c>
      <c r="L34">
        <v>323182.68050000002</v>
      </c>
      <c r="M34" s="1">
        <v>0.36455344487434499</v>
      </c>
      <c r="N34">
        <v>1955192.06</v>
      </c>
      <c r="O34">
        <v>1.9551920599999999</v>
      </c>
      <c r="P34">
        <v>1955192.06</v>
      </c>
      <c r="Q34">
        <v>1342105.32</v>
      </c>
      <c r="R34" s="1">
        <v>0.45680970849590202</v>
      </c>
      <c r="S34">
        <v>1955192.06</v>
      </c>
      <c r="T34">
        <v>1837374.7005</v>
      </c>
      <c r="U34" s="1">
        <v>6.4122663421858697E-2</v>
      </c>
    </row>
    <row r="35" spans="1:21" x14ac:dyDescent="0.3">
      <c r="A35" t="s">
        <v>35</v>
      </c>
      <c r="B35">
        <v>0</v>
      </c>
      <c r="C35">
        <v>0</v>
      </c>
      <c r="D35">
        <v>2.2496019999999999E-2</v>
      </c>
      <c r="E35" s="1">
        <v>-1</v>
      </c>
      <c r="F35">
        <v>0</v>
      </c>
      <c r="G35">
        <v>0</v>
      </c>
      <c r="H35">
        <v>0</v>
      </c>
      <c r="I35">
        <v>105218.25</v>
      </c>
      <c r="J35" s="1">
        <v>-1</v>
      </c>
      <c r="K35">
        <v>0</v>
      </c>
      <c r="L35">
        <v>0</v>
      </c>
      <c r="M35" t="s">
        <v>36</v>
      </c>
      <c r="N35">
        <v>0</v>
      </c>
      <c r="O35">
        <v>0</v>
      </c>
      <c r="P35">
        <v>0</v>
      </c>
      <c r="Q35">
        <v>620848.01</v>
      </c>
      <c r="R35" s="1">
        <v>-1</v>
      </c>
      <c r="S35">
        <v>0</v>
      </c>
      <c r="T35">
        <v>0</v>
      </c>
      <c r="U35" t="s">
        <v>36</v>
      </c>
    </row>
    <row r="37" spans="1:21" x14ac:dyDescent="0.3">
      <c r="A37" s="3" t="s">
        <v>40</v>
      </c>
      <c r="B37" s="3">
        <f>B4+B9+B14+B20+B25+B30+B35</f>
        <v>72565926.709999993</v>
      </c>
      <c r="C37" s="3">
        <f>B37/1000000</f>
        <v>72.565926709999999</v>
      </c>
      <c r="D37" s="3">
        <f>D4+D9+D14+D20+D25+D30+D35</f>
        <v>83.063882930000005</v>
      </c>
      <c r="E37" s="4">
        <f>(C37-D37)/D37</f>
        <v>-0.12638412568368487</v>
      </c>
      <c r="F37" s="3">
        <f>F4+F9+F14+F20+F25+F30+F35</f>
        <v>657856426.01999891</v>
      </c>
      <c r="G37" s="3">
        <f>F37/1000000</f>
        <v>657.85642601999893</v>
      </c>
      <c r="H37" s="3">
        <f>H4+H9+H14+H20+H25+H30+H35</f>
        <v>657856426.01999891</v>
      </c>
      <c r="I37" s="3">
        <f>I4+I9+I14+I20+I25+I30+I35</f>
        <v>759375919.81999993</v>
      </c>
      <c r="J37" s="4">
        <f>(H37-I37)/I37</f>
        <v>-0.13368806035364525</v>
      </c>
      <c r="K37" s="3">
        <f>K4+K9+K14+K20+K25+K30+K35</f>
        <v>657856426.01999891</v>
      </c>
      <c r="L37" s="3">
        <f>L4+L9+L14+L20+L25+L30+L35</f>
        <v>697399639.79318428</v>
      </c>
      <c r="M37" s="4">
        <f>(K37-L37)/L37</f>
        <v>-5.6700938051691595E-2</v>
      </c>
      <c r="N37" s="3">
        <f>N4+N9+N14+N20+N25+N30+N35</f>
        <v>3238319971.380003</v>
      </c>
      <c r="O37" s="3">
        <f>N37/1000000</f>
        <v>3238.3199713800032</v>
      </c>
      <c r="P37" s="3">
        <f>P4+P9+P14+P20+P25+P30+P35</f>
        <v>3238319971.380003</v>
      </c>
      <c r="Q37" s="3">
        <f>Q4+Q9+Q14+Q20+Q25+Q30+Q35</f>
        <v>3911338256.2799993</v>
      </c>
      <c r="R37" s="4">
        <f>(P37-Q37)/Q37</f>
        <v>-0.17206854554688691</v>
      </c>
      <c r="S37" s="3">
        <f>S4+S9+S14+S20+S25+S30+S35</f>
        <v>3238319971.380003</v>
      </c>
      <c r="T37" s="3">
        <f>T4+T9+T14+T20+T25+T30+T35</f>
        <v>3277863185.1531892</v>
      </c>
      <c r="U37" s="4">
        <f>(S37-T37)/T37</f>
        <v>-1.2063716982543363E-2</v>
      </c>
    </row>
    <row r="38" spans="1:21" x14ac:dyDescent="0.3">
      <c r="B38" s="5">
        <f>B2-B37</f>
        <v>0</v>
      </c>
      <c r="C38" s="5">
        <f t="shared" ref="C38:U38" si="0">C2-C37</f>
        <v>0</v>
      </c>
      <c r="D38" s="5">
        <f t="shared" si="0"/>
        <v>0</v>
      </c>
      <c r="E38" s="5">
        <f t="shared" si="0"/>
        <v>8.6042284408449632E-16</v>
      </c>
      <c r="F38" s="5">
        <f t="shared" si="0"/>
        <v>0</v>
      </c>
      <c r="G38" s="5">
        <f t="shared" si="0"/>
        <v>0</v>
      </c>
      <c r="H38" s="5">
        <f t="shared" si="0"/>
        <v>0</v>
      </c>
      <c r="I38" s="5">
        <f>I2-I37</f>
        <v>0</v>
      </c>
      <c r="J38" s="5">
        <f t="shared" si="0"/>
        <v>1.2490009027033011E-15</v>
      </c>
      <c r="K38" s="5">
        <f t="shared" si="0"/>
        <v>0</v>
      </c>
      <c r="L38" s="5">
        <f t="shared" si="0"/>
        <v>0</v>
      </c>
      <c r="M38" s="5">
        <f t="shared" si="0"/>
        <v>8.9511731360403246E-16</v>
      </c>
      <c r="N38" s="5">
        <f t="shared" si="0"/>
        <v>0</v>
      </c>
      <c r="O38" s="5">
        <f t="shared" si="0"/>
        <v>0</v>
      </c>
      <c r="P38" s="5">
        <f t="shared" si="0"/>
        <v>0</v>
      </c>
      <c r="Q38" s="5">
        <f t="shared" si="0"/>
        <v>0</v>
      </c>
      <c r="R38" s="5">
        <f t="shared" si="0"/>
        <v>0</v>
      </c>
      <c r="S38" s="5">
        <f t="shared" si="0"/>
        <v>0</v>
      </c>
      <c r="T38" s="5">
        <f t="shared" si="0"/>
        <v>-9.059906005859375E-6</v>
      </c>
      <c r="U38" s="5">
        <f t="shared" si="0"/>
        <v>4.6317116808580749E-16</v>
      </c>
    </row>
    <row r="46" spans="1:21" x14ac:dyDescent="0.3">
      <c r="A46" t="s">
        <v>0</v>
      </c>
      <c r="B46" t="s">
        <v>41</v>
      </c>
      <c r="C46" t="s">
        <v>42</v>
      </c>
      <c r="D46" s="2" t="s">
        <v>2</v>
      </c>
      <c r="E46" t="s">
        <v>41</v>
      </c>
      <c r="F46" t="s">
        <v>43</v>
      </c>
      <c r="G46" t="s">
        <v>44</v>
      </c>
      <c r="H46" s="2" t="s">
        <v>4</v>
      </c>
      <c r="I46" t="s">
        <v>45</v>
      </c>
      <c r="J46" s="2" t="s">
        <v>6</v>
      </c>
      <c r="K46" t="s">
        <v>45</v>
      </c>
      <c r="L46" t="s">
        <v>46</v>
      </c>
      <c r="M46" t="s">
        <v>47</v>
      </c>
      <c r="N46" s="2" t="s">
        <v>4</v>
      </c>
      <c r="O46" t="s">
        <v>48</v>
      </c>
      <c r="P46" s="2" t="s">
        <v>11</v>
      </c>
      <c r="Q46" t="s">
        <v>48</v>
      </c>
      <c r="R46" t="s">
        <v>50</v>
      </c>
      <c r="S46" t="s">
        <v>49</v>
      </c>
      <c r="T46" s="2" t="s">
        <v>4</v>
      </c>
    </row>
    <row r="47" spans="1:21" x14ac:dyDescent="0.3">
      <c r="A47" t="s">
        <v>14</v>
      </c>
      <c r="B47">
        <v>336484.04499999998</v>
      </c>
      <c r="C47">
        <v>336.48404499999998</v>
      </c>
      <c r="D47">
        <v>336.48404499999998</v>
      </c>
      <c r="E47">
        <v>336484.04499999998</v>
      </c>
      <c r="F47">
        <v>376659.69500000001</v>
      </c>
      <c r="G47">
        <v>-0.106662991908385</v>
      </c>
      <c r="H47" s="1">
        <v>-0.106662991908385</v>
      </c>
      <c r="I47">
        <v>3062668.86</v>
      </c>
      <c r="J47">
        <v>3062.6688600000002</v>
      </c>
      <c r="K47">
        <v>3062668.86</v>
      </c>
      <c r="L47">
        <v>3484557.1967500001</v>
      </c>
      <c r="M47">
        <v>-0.121073729868314</v>
      </c>
      <c r="N47" s="1">
        <v>-0.121073729868314</v>
      </c>
      <c r="O47">
        <v>15307288.8135</v>
      </c>
      <c r="P47">
        <v>15307.288813499999</v>
      </c>
      <c r="Q47">
        <v>15307288.8135</v>
      </c>
      <c r="R47">
        <v>18066497.771749999</v>
      </c>
      <c r="S47">
        <v>-0.15272517081669701</v>
      </c>
      <c r="T47" s="1">
        <v>-0.15272517081669701</v>
      </c>
    </row>
    <row r="48" spans="1:21" s="3" customFormat="1" x14ac:dyDescent="0.3">
      <c r="A48" s="3" t="s">
        <v>37</v>
      </c>
      <c r="B48" s="3">
        <f>B49+B54+B59</f>
        <v>165220.57799999992</v>
      </c>
      <c r="C48" s="3">
        <f>B48/1000</f>
        <v>165.22057799999993</v>
      </c>
      <c r="D48" s="3">
        <f>C48</f>
        <v>165.22057799999993</v>
      </c>
      <c r="E48" s="3">
        <f>E49+E54+E59</f>
        <v>165220.57799999992</v>
      </c>
      <c r="F48" s="3">
        <f>F49+F54+F59</f>
        <v>193669.77199999991</v>
      </c>
      <c r="G48" s="3">
        <f>(E48-F48)/F48</f>
        <v>-0.14689537611476097</v>
      </c>
      <c r="H48" s="4">
        <f>G48</f>
        <v>-0.14689537611476097</v>
      </c>
      <c r="I48" s="3">
        <f>I49+I54+I59</f>
        <v>1514981.5799999991</v>
      </c>
      <c r="J48" s="3">
        <f>I48/1000</f>
        <v>1514.9815799999992</v>
      </c>
      <c r="K48" s="3">
        <f>K49+K54+K59</f>
        <v>1514981.5799999991</v>
      </c>
      <c r="L48" s="3">
        <f>L49+L54+L59</f>
        <v>1817082.0597499979</v>
      </c>
      <c r="M48" s="3">
        <f>(K48-L48)/L48</f>
        <v>-0.16625582654839655</v>
      </c>
      <c r="N48" s="4">
        <f>M48</f>
        <v>-0.16625582654839655</v>
      </c>
      <c r="O48" s="3">
        <f>O49+O54+O59</f>
        <v>7691931.1992499996</v>
      </c>
      <c r="P48" s="3">
        <f>O48/1000</f>
        <v>7691.9311992499997</v>
      </c>
      <c r="Q48" s="3">
        <f>Q49+Q54+Q59</f>
        <v>7691931.1992499996</v>
      </c>
      <c r="R48" s="3">
        <f>R49+R54+R59</f>
        <v>9287756.8057500012</v>
      </c>
      <c r="S48" s="3">
        <f>(Q48-R48)/R48</f>
        <v>-0.17182034799964124</v>
      </c>
      <c r="T48" s="4">
        <f>S48</f>
        <v>-0.17182034799964124</v>
      </c>
    </row>
    <row r="49" spans="1:20" x14ac:dyDescent="0.3">
      <c r="A49" t="s">
        <v>15</v>
      </c>
      <c r="B49">
        <v>58896.495000000003</v>
      </c>
      <c r="C49">
        <v>58.896495000000002</v>
      </c>
      <c r="D49">
        <v>58.896495000000002</v>
      </c>
      <c r="E49">
        <v>58896.495000000003</v>
      </c>
      <c r="F49">
        <v>79367.606</v>
      </c>
      <c r="G49">
        <v>-0.25792778731413402</v>
      </c>
      <c r="H49" s="1">
        <v>-0.25792778731413402</v>
      </c>
      <c r="I49">
        <v>598765.66499999899</v>
      </c>
      <c r="J49">
        <v>598.76566499999899</v>
      </c>
      <c r="K49">
        <v>598765.66499999899</v>
      </c>
      <c r="L49">
        <v>715729.84324999899</v>
      </c>
      <c r="M49">
        <v>-0.16341945128190599</v>
      </c>
      <c r="N49" s="1">
        <v>-0.16341945128190599</v>
      </c>
      <c r="O49">
        <v>3256252.1475</v>
      </c>
      <c r="P49">
        <v>3256.2521474999999</v>
      </c>
      <c r="Q49">
        <v>3256252.1475</v>
      </c>
      <c r="R49">
        <v>3914358.51425</v>
      </c>
      <c r="S49">
        <v>-0.16812623686721601</v>
      </c>
      <c r="T49" s="1">
        <v>-0.16812623686721601</v>
      </c>
    </row>
    <row r="50" spans="1:20" x14ac:dyDescent="0.3">
      <c r="A50" t="s">
        <v>16</v>
      </c>
      <c r="B50">
        <v>58681.495000000003</v>
      </c>
      <c r="C50">
        <v>58.681494999999998</v>
      </c>
      <c r="D50">
        <v>58.681494999999998</v>
      </c>
      <c r="E50">
        <v>58681.495000000003</v>
      </c>
      <c r="F50">
        <v>79067.606</v>
      </c>
      <c r="G50">
        <v>-0.25783139304862701</v>
      </c>
      <c r="H50" s="1">
        <v>-0.25783139304862701</v>
      </c>
      <c r="I50">
        <v>597403.66499999899</v>
      </c>
      <c r="J50">
        <v>597.40366499999902</v>
      </c>
      <c r="K50">
        <v>597403.66499999899</v>
      </c>
      <c r="L50">
        <v>714452.84324999899</v>
      </c>
      <c r="M50">
        <v>-0.16383051639566701</v>
      </c>
      <c r="N50" s="1">
        <v>-0.16383051639566701</v>
      </c>
      <c r="O50">
        <v>3247566.6475</v>
      </c>
      <c r="P50">
        <v>3247.5666474999998</v>
      </c>
      <c r="Q50">
        <v>3247566.6475</v>
      </c>
      <c r="R50">
        <v>3907276.51425</v>
      </c>
      <c r="S50">
        <v>-0.168841356465049</v>
      </c>
      <c r="T50" s="1">
        <v>-0.168841356465049</v>
      </c>
    </row>
    <row r="51" spans="1:20" x14ac:dyDescent="0.3">
      <c r="A51" t="s">
        <v>17</v>
      </c>
      <c r="B51">
        <v>36966.995000000003</v>
      </c>
      <c r="C51">
        <v>36.966994999999997</v>
      </c>
      <c r="D51">
        <v>36.966994999999997</v>
      </c>
      <c r="E51">
        <v>36966.995000000003</v>
      </c>
      <c r="F51">
        <v>45125.106</v>
      </c>
      <c r="G51">
        <v>-0.180788738756646</v>
      </c>
      <c r="H51" s="1">
        <v>-0.180788738756646</v>
      </c>
      <c r="I51">
        <v>373173.842999999</v>
      </c>
      <c r="J51">
        <v>373.17384299999901</v>
      </c>
      <c r="K51">
        <v>373173.842999999</v>
      </c>
      <c r="L51">
        <v>426415.05225000001</v>
      </c>
      <c r="M51">
        <v>-0.12485771543258201</v>
      </c>
      <c r="N51" s="1">
        <v>-0.12485771543258201</v>
      </c>
      <c r="O51">
        <v>2081023.2945000001</v>
      </c>
      <c r="P51">
        <v>2081.0232944999998</v>
      </c>
      <c r="Q51">
        <v>2081023.2945000001</v>
      </c>
      <c r="R51">
        <v>2416706.5632500001</v>
      </c>
      <c r="S51">
        <v>-0.13890112844257299</v>
      </c>
      <c r="T51" s="1">
        <v>-0.13890112844257399</v>
      </c>
    </row>
    <row r="52" spans="1:20" x14ac:dyDescent="0.3">
      <c r="A52" t="s">
        <v>18</v>
      </c>
      <c r="B52">
        <v>21714.5</v>
      </c>
      <c r="C52">
        <v>21.714500000000001</v>
      </c>
      <c r="D52">
        <v>21.714500000000001</v>
      </c>
      <c r="E52">
        <v>21714.5</v>
      </c>
      <c r="F52">
        <v>33942.5</v>
      </c>
      <c r="G52">
        <v>-0.36025631582823803</v>
      </c>
      <c r="H52" s="1">
        <v>-0.36025631582823803</v>
      </c>
      <c r="I52">
        <v>224229.82199999999</v>
      </c>
      <c r="J52">
        <v>224.22982200000001</v>
      </c>
      <c r="K52">
        <v>224229.82199999999</v>
      </c>
      <c r="L52">
        <v>288037.79100000003</v>
      </c>
      <c r="M52">
        <v>-0.221526379502056</v>
      </c>
      <c r="N52" s="1">
        <v>-0.221526379502056</v>
      </c>
      <c r="O52">
        <v>1166543.3529999999</v>
      </c>
      <c r="P52">
        <v>1166.543353</v>
      </c>
      <c r="Q52">
        <v>1166543.3529999999</v>
      </c>
      <c r="R52">
        <v>1490569.9509999999</v>
      </c>
      <c r="S52">
        <v>-0.21738436212444401</v>
      </c>
      <c r="T52" s="1">
        <v>-0.21738436212444501</v>
      </c>
    </row>
    <row r="53" spans="1:20" x14ac:dyDescent="0.3">
      <c r="A53" t="s">
        <v>19</v>
      </c>
      <c r="B53">
        <v>215</v>
      </c>
      <c r="C53">
        <v>0.215</v>
      </c>
      <c r="D53">
        <v>0.215</v>
      </c>
      <c r="E53">
        <v>215</v>
      </c>
      <c r="F53">
        <v>300</v>
      </c>
      <c r="G53">
        <v>-0.28333333333333299</v>
      </c>
      <c r="H53" s="1">
        <v>-0.28333333333333299</v>
      </c>
      <c r="I53">
        <v>1362</v>
      </c>
      <c r="J53">
        <v>1.3620000000000001</v>
      </c>
      <c r="K53">
        <v>1362</v>
      </c>
      <c r="L53">
        <v>1277</v>
      </c>
      <c r="M53">
        <v>6.65622552858261E-2</v>
      </c>
      <c r="N53" s="1">
        <v>6.65622552858261E-2</v>
      </c>
      <c r="O53">
        <v>8685.5</v>
      </c>
      <c r="P53">
        <v>8.6854999999999905</v>
      </c>
      <c r="Q53">
        <v>8685.5</v>
      </c>
      <c r="R53">
        <v>7082</v>
      </c>
      <c r="S53">
        <v>0.22641909065235799</v>
      </c>
      <c r="T53" s="1">
        <v>0.22641909065235799</v>
      </c>
    </row>
    <row r="54" spans="1:20" x14ac:dyDescent="0.3">
      <c r="A54" t="s">
        <v>20</v>
      </c>
      <c r="B54">
        <v>39042.6349999999</v>
      </c>
      <c r="C54">
        <v>39.042634999999997</v>
      </c>
      <c r="D54">
        <v>39.042634999999997</v>
      </c>
      <c r="E54">
        <v>39042.6349999999</v>
      </c>
      <c r="F54">
        <v>36560.483</v>
      </c>
      <c r="G54">
        <v>6.7891663247446499E-2</v>
      </c>
      <c r="H54" s="1">
        <v>6.7891663247446499E-2</v>
      </c>
      <c r="I54">
        <v>298201.27</v>
      </c>
      <c r="J54">
        <v>298.20127000000002</v>
      </c>
      <c r="K54">
        <v>298201.27</v>
      </c>
      <c r="L54">
        <v>355000.12599999999</v>
      </c>
      <c r="M54">
        <v>-0.15999672067722001</v>
      </c>
      <c r="N54" s="1">
        <v>-0.15999672067722001</v>
      </c>
      <c r="O54">
        <v>1401937.9267500001</v>
      </c>
      <c r="P54">
        <v>1401.9379267500001</v>
      </c>
      <c r="Q54">
        <v>1401937.9267500001</v>
      </c>
      <c r="R54">
        <v>1596053.6155000001</v>
      </c>
      <c r="S54">
        <v>-0.12162228565810899</v>
      </c>
      <c r="T54" s="1">
        <v>-0.12162228565810899</v>
      </c>
    </row>
    <row r="55" spans="1:20" x14ac:dyDescent="0.3">
      <c r="A55" t="s">
        <v>21</v>
      </c>
      <c r="B55">
        <v>39017.6349999999</v>
      </c>
      <c r="C55">
        <v>39.017634999999899</v>
      </c>
      <c r="D55">
        <v>39.017634999999899</v>
      </c>
      <c r="E55">
        <v>39017.6349999999</v>
      </c>
      <c r="F55">
        <v>36183.483</v>
      </c>
      <c r="G55">
        <v>7.8327230134257506E-2</v>
      </c>
      <c r="H55" s="1">
        <v>7.8327230134257506E-2</v>
      </c>
      <c r="I55">
        <v>297281.27</v>
      </c>
      <c r="J55">
        <v>297.28127000000001</v>
      </c>
      <c r="K55">
        <v>297281.27</v>
      </c>
      <c r="L55">
        <v>354308.12599999999</v>
      </c>
      <c r="M55">
        <v>-0.16095271831276001</v>
      </c>
      <c r="N55" s="1">
        <v>-0.16095271831276001</v>
      </c>
      <c r="O55">
        <v>1399211.9267500001</v>
      </c>
      <c r="P55">
        <v>1399.21192675</v>
      </c>
      <c r="Q55">
        <v>1399211.9267500001</v>
      </c>
      <c r="R55">
        <v>1593572.6155000001</v>
      </c>
      <c r="S55">
        <v>-0.121965379462182</v>
      </c>
      <c r="T55" s="1">
        <v>-0.121965379462182</v>
      </c>
    </row>
    <row r="56" spans="1:20" x14ac:dyDescent="0.3">
      <c r="A56" t="s">
        <v>17</v>
      </c>
      <c r="B56">
        <v>14454.135</v>
      </c>
      <c r="C56">
        <v>14.454135000000001</v>
      </c>
      <c r="D56">
        <v>14.454135000000001</v>
      </c>
      <c r="E56">
        <v>14454.135</v>
      </c>
      <c r="F56">
        <v>16933.483</v>
      </c>
      <c r="G56">
        <v>-0.146416894858547</v>
      </c>
      <c r="H56" s="1">
        <v>-0.146416894858547</v>
      </c>
      <c r="I56">
        <v>131059.772</v>
      </c>
      <c r="J56">
        <v>131.05977200000001</v>
      </c>
      <c r="K56">
        <v>131059.772</v>
      </c>
      <c r="L56">
        <v>153207.296</v>
      </c>
      <c r="M56">
        <v>-0.144559199060598</v>
      </c>
      <c r="N56" s="1">
        <v>-0.144559199060598</v>
      </c>
      <c r="O56">
        <v>681248.08875</v>
      </c>
      <c r="P56">
        <v>681.24808874999997</v>
      </c>
      <c r="Q56">
        <v>681248.08875</v>
      </c>
      <c r="R56">
        <v>766262.66749999998</v>
      </c>
      <c r="S56">
        <v>-0.11094704512666199</v>
      </c>
      <c r="T56" s="1">
        <v>-0.11094704512666199</v>
      </c>
    </row>
    <row r="57" spans="1:20" x14ac:dyDescent="0.3">
      <c r="A57" t="s">
        <v>18</v>
      </c>
      <c r="B57">
        <v>24563.5</v>
      </c>
      <c r="C57">
        <v>24.563500000000001</v>
      </c>
      <c r="D57">
        <v>24.563500000000001</v>
      </c>
      <c r="E57">
        <v>24563.5</v>
      </c>
      <c r="F57">
        <v>19250</v>
      </c>
      <c r="G57">
        <v>0.27602597402597401</v>
      </c>
      <c r="H57" s="1">
        <v>0.27602597402597401</v>
      </c>
      <c r="I57">
        <v>166221.49799999999</v>
      </c>
      <c r="J57">
        <v>166.221498</v>
      </c>
      <c r="K57">
        <v>166221.49799999999</v>
      </c>
      <c r="L57">
        <v>201100.83</v>
      </c>
      <c r="M57">
        <v>-0.17344200916525301</v>
      </c>
      <c r="N57" s="1">
        <v>-0.17344200916525301</v>
      </c>
      <c r="O57">
        <v>717963.83799999906</v>
      </c>
      <c r="P57">
        <v>717.96383799999899</v>
      </c>
      <c r="Q57">
        <v>717963.83799999906</v>
      </c>
      <c r="R57">
        <v>827309.94799999997</v>
      </c>
      <c r="S57">
        <v>-0.13217066984911899</v>
      </c>
      <c r="T57" s="1">
        <v>-0.13217066984911899</v>
      </c>
    </row>
    <row r="58" spans="1:20" x14ac:dyDescent="0.3">
      <c r="A58" t="s">
        <v>22</v>
      </c>
      <c r="B58">
        <v>25</v>
      </c>
      <c r="C58">
        <v>2.5000000000000001E-2</v>
      </c>
      <c r="D58">
        <v>2.5000000000000001E-2</v>
      </c>
      <c r="E58">
        <v>25</v>
      </c>
      <c r="F58">
        <v>377</v>
      </c>
      <c r="G58">
        <v>-0.93368700265251903</v>
      </c>
      <c r="H58" s="1">
        <v>-0.93368700265251903</v>
      </c>
      <c r="I58">
        <v>920</v>
      </c>
      <c r="J58">
        <v>0.92</v>
      </c>
      <c r="K58">
        <v>920</v>
      </c>
      <c r="L58">
        <v>692</v>
      </c>
      <c r="M58">
        <v>0.329479768786127</v>
      </c>
      <c r="N58" s="1">
        <v>0.329479768786127</v>
      </c>
      <c r="O58">
        <v>2726</v>
      </c>
      <c r="P58">
        <v>2.726</v>
      </c>
      <c r="Q58">
        <v>2726</v>
      </c>
      <c r="R58">
        <v>2481</v>
      </c>
      <c r="S58">
        <v>9.8750503829101097E-2</v>
      </c>
      <c r="T58" s="1">
        <v>9.8750503829101097E-2</v>
      </c>
    </row>
    <row r="59" spans="1:20" x14ac:dyDescent="0.3">
      <c r="A59" t="s">
        <v>32</v>
      </c>
      <c r="B59">
        <v>67281.448000000004</v>
      </c>
      <c r="C59">
        <v>67.281447999999997</v>
      </c>
      <c r="D59">
        <v>67.281447999999997</v>
      </c>
      <c r="E59">
        <v>67281.448000000004</v>
      </c>
      <c r="F59">
        <v>77741.682999999903</v>
      </c>
      <c r="G59">
        <v>-0.13455117764815999</v>
      </c>
      <c r="H59" s="1">
        <v>-0.13455117764815999</v>
      </c>
      <c r="I59">
        <v>618014.64500000002</v>
      </c>
      <c r="J59">
        <v>618.01464499999997</v>
      </c>
      <c r="K59">
        <v>618014.64500000002</v>
      </c>
      <c r="L59">
        <v>746352.090499999</v>
      </c>
      <c r="M59">
        <v>-0.17195295241153999</v>
      </c>
      <c r="N59" s="1">
        <v>-0.17195295241153999</v>
      </c>
      <c r="O59">
        <v>3033741.125</v>
      </c>
      <c r="P59">
        <v>3033.741125</v>
      </c>
      <c r="Q59">
        <v>3033741.125</v>
      </c>
      <c r="R59">
        <v>3777344.676</v>
      </c>
      <c r="S59">
        <v>-0.19685880288463201</v>
      </c>
      <c r="T59" s="1">
        <v>-0.19685880288463201</v>
      </c>
    </row>
    <row r="60" spans="1:20" x14ac:dyDescent="0.3">
      <c r="A60" t="s">
        <v>33</v>
      </c>
      <c r="B60">
        <v>67281.448000000004</v>
      </c>
      <c r="C60">
        <v>67.281447999999997</v>
      </c>
      <c r="D60">
        <v>67.281447999999997</v>
      </c>
      <c r="E60">
        <v>67281.448000000004</v>
      </c>
      <c r="F60">
        <v>77636.682999999903</v>
      </c>
      <c r="G60">
        <v>-0.13338069840000699</v>
      </c>
      <c r="H60" s="1">
        <v>-0.13338069840000699</v>
      </c>
      <c r="I60">
        <v>617160.64500000002</v>
      </c>
      <c r="J60">
        <v>617.16064500000005</v>
      </c>
      <c r="K60">
        <v>617160.64500000002</v>
      </c>
      <c r="L60">
        <v>743826.090499999</v>
      </c>
      <c r="M60">
        <v>-0.170289059657554</v>
      </c>
      <c r="N60" s="1">
        <v>-0.170289059657554</v>
      </c>
      <c r="O60">
        <v>3019988.625</v>
      </c>
      <c r="P60">
        <v>3019.988625</v>
      </c>
      <c r="Q60">
        <v>3019988.625</v>
      </c>
      <c r="R60">
        <v>3770836.676</v>
      </c>
      <c r="S60">
        <v>-0.19911974861676501</v>
      </c>
      <c r="T60" s="1">
        <v>-0.19911974861676501</v>
      </c>
    </row>
    <row r="61" spans="1:20" x14ac:dyDescent="0.3">
      <c r="A61" t="s">
        <v>17</v>
      </c>
      <c r="B61">
        <v>29456.448</v>
      </c>
      <c r="C61">
        <v>29.456448000000002</v>
      </c>
      <c r="D61">
        <v>29.456448000000002</v>
      </c>
      <c r="E61">
        <v>29456.448</v>
      </c>
      <c r="F61">
        <v>32783.682999999997</v>
      </c>
      <c r="G61">
        <v>-0.10149057993270599</v>
      </c>
      <c r="H61" s="1">
        <v>-0.10149057993270599</v>
      </c>
      <c r="I61">
        <v>274778.49400000001</v>
      </c>
      <c r="J61">
        <v>274.77849400000002</v>
      </c>
      <c r="K61">
        <v>274778.49400000001</v>
      </c>
      <c r="L61">
        <v>324864.98649999901</v>
      </c>
      <c r="M61">
        <v>-0.15417633349662199</v>
      </c>
      <c r="N61" s="1">
        <v>-0.15417633349662199</v>
      </c>
      <c r="O61">
        <v>1454798.7080000001</v>
      </c>
      <c r="P61">
        <v>1454.798708</v>
      </c>
      <c r="Q61">
        <v>1454798.7080000001</v>
      </c>
      <c r="R61">
        <v>1718149.2849999999</v>
      </c>
      <c r="S61">
        <v>-0.15327572481572699</v>
      </c>
      <c r="T61" s="1">
        <v>-0.15327572481572699</v>
      </c>
    </row>
    <row r="62" spans="1:20" x14ac:dyDescent="0.3">
      <c r="A62" t="s">
        <v>18</v>
      </c>
      <c r="B62">
        <v>37825</v>
      </c>
      <c r="C62">
        <v>37.825000000000003</v>
      </c>
      <c r="D62">
        <v>37.825000000000003</v>
      </c>
      <c r="E62">
        <v>37825</v>
      </c>
      <c r="F62">
        <v>44853</v>
      </c>
      <c r="G62">
        <v>-0.15668963057097601</v>
      </c>
      <c r="H62" s="1">
        <v>-0.15668963057097601</v>
      </c>
      <c r="I62">
        <v>342382.15100000001</v>
      </c>
      <c r="J62">
        <v>342.38215100000002</v>
      </c>
      <c r="K62">
        <v>342382.15100000001</v>
      </c>
      <c r="L62">
        <v>418961.10399999999</v>
      </c>
      <c r="M62">
        <v>-0.18278296545638201</v>
      </c>
      <c r="N62" s="1">
        <v>-0.18278296545638201</v>
      </c>
      <c r="O62">
        <v>1565189.9169999999</v>
      </c>
      <c r="P62">
        <v>1565.1899169999999</v>
      </c>
      <c r="Q62">
        <v>1565189.9169999999</v>
      </c>
      <c r="R62">
        <v>2052687.3910000001</v>
      </c>
      <c r="S62">
        <v>-0.237492311852954</v>
      </c>
      <c r="T62" s="1">
        <v>-0.237492311852954</v>
      </c>
    </row>
    <row r="63" spans="1:20" x14ac:dyDescent="0.3">
      <c r="A63" t="s">
        <v>34</v>
      </c>
      <c r="B63">
        <v>0</v>
      </c>
      <c r="C63">
        <v>0</v>
      </c>
      <c r="D63">
        <v>0</v>
      </c>
      <c r="E63">
        <v>0</v>
      </c>
      <c r="F63">
        <v>105</v>
      </c>
      <c r="G63">
        <v>-1</v>
      </c>
      <c r="H63" s="1">
        <v>-1</v>
      </c>
      <c r="I63">
        <v>854</v>
      </c>
      <c r="J63">
        <v>0.85399999999999998</v>
      </c>
      <c r="K63">
        <v>854</v>
      </c>
      <c r="L63">
        <v>2526</v>
      </c>
      <c r="M63">
        <v>-0.66191607284243803</v>
      </c>
      <c r="N63" s="1">
        <v>-0.66191607284243803</v>
      </c>
      <c r="O63">
        <v>13752.5</v>
      </c>
      <c r="P63">
        <v>13.7525</v>
      </c>
      <c r="Q63">
        <v>13752.5</v>
      </c>
      <c r="R63">
        <v>6508</v>
      </c>
      <c r="S63">
        <v>1.1131684081130899</v>
      </c>
      <c r="T63" s="1">
        <v>1.1131684081130899</v>
      </c>
    </row>
    <row r="64" spans="1:20" s="3" customFormat="1" x14ac:dyDescent="0.3">
      <c r="A64" s="3" t="s">
        <v>38</v>
      </c>
      <c r="B64" s="3">
        <f>B65+B70+B75</f>
        <v>171263.467</v>
      </c>
      <c r="C64" s="3">
        <f>B64/1000</f>
        <v>171.26346699999999</v>
      </c>
      <c r="D64" s="3">
        <f>C64</f>
        <v>171.26346699999999</v>
      </c>
      <c r="E64" s="3">
        <f>E65+E70+E75</f>
        <v>171263.467</v>
      </c>
      <c r="F64" s="3">
        <f>F65+F70+F75</f>
        <v>182895.92299999989</v>
      </c>
      <c r="G64" s="3">
        <f>(E64-F64)/F64</f>
        <v>-6.360150521233815E-2</v>
      </c>
      <c r="H64" s="4">
        <f>G64</f>
        <v>-6.360150521233815E-2</v>
      </c>
      <c r="I64" s="3">
        <f>I65+I70+I75</f>
        <v>1547687.2799999989</v>
      </c>
      <c r="J64" s="3">
        <f>I64/1000</f>
        <v>1547.687279999999</v>
      </c>
      <c r="K64" s="3">
        <f>K65+K70+K75</f>
        <v>1547687.2799999989</v>
      </c>
      <c r="L64" s="3">
        <f>L65+L70+L75</f>
        <v>1667039.6370000001</v>
      </c>
      <c r="M64" s="3">
        <f>(K64-L64)/L64</f>
        <v>-7.1595392425573876E-2</v>
      </c>
      <c r="N64" s="4">
        <f>M64</f>
        <v>-7.1595392425573876E-2</v>
      </c>
      <c r="O64" s="3">
        <f>O65+O70+O75</f>
        <v>7615357.6142499996</v>
      </c>
      <c r="P64" s="3">
        <f>O64/1000</f>
        <v>7615.3576142499996</v>
      </c>
      <c r="Q64" s="3">
        <f>Q65+Q70+Q75</f>
        <v>7615357.6142499996</v>
      </c>
      <c r="R64" s="3">
        <f>R65+R70+R75</f>
        <v>8776163.966</v>
      </c>
      <c r="S64" s="3">
        <f>(Q64-R64)/R64</f>
        <v>-0.13226807933934634</v>
      </c>
      <c r="T64" s="4">
        <f>S64</f>
        <v>-0.13226807933934634</v>
      </c>
    </row>
    <row r="65" spans="1:20" x14ac:dyDescent="0.3">
      <c r="A65" t="s">
        <v>23</v>
      </c>
      <c r="B65">
        <v>36523.466999999997</v>
      </c>
      <c r="C65">
        <v>36.523466999999997</v>
      </c>
      <c r="D65">
        <v>36.523466999999997</v>
      </c>
      <c r="E65">
        <v>36523.466999999997</v>
      </c>
      <c r="F65">
        <v>32986.453000000001</v>
      </c>
      <c r="G65">
        <v>0.107226260428788</v>
      </c>
      <c r="H65" s="1">
        <v>0.107226260428788</v>
      </c>
      <c r="I65">
        <v>315482.81199999998</v>
      </c>
      <c r="J65">
        <v>315.48281200000002</v>
      </c>
      <c r="K65">
        <v>315482.81199999998</v>
      </c>
      <c r="L65">
        <v>315200.51199999999</v>
      </c>
      <c r="M65">
        <v>8.9562037259612699E-4</v>
      </c>
      <c r="N65" s="1">
        <v>8.9562037259613002E-4</v>
      </c>
      <c r="O65">
        <v>1368807.702</v>
      </c>
      <c r="P65">
        <v>1368.8077020000001</v>
      </c>
      <c r="Q65">
        <v>1368807.702</v>
      </c>
      <c r="R65">
        <v>1642686.1235</v>
      </c>
      <c r="S65">
        <v>-0.166725960353557</v>
      </c>
      <c r="T65" s="1">
        <v>-0.166725960353557</v>
      </c>
    </row>
    <row r="66" spans="1:20" x14ac:dyDescent="0.3">
      <c r="A66" t="s">
        <v>24</v>
      </c>
      <c r="B66">
        <v>36209.466999999997</v>
      </c>
      <c r="C66">
        <v>36.209466999999997</v>
      </c>
      <c r="D66">
        <v>36.209466999999997</v>
      </c>
      <c r="E66">
        <v>36209.466999999997</v>
      </c>
      <c r="F66">
        <v>32836.453000000001</v>
      </c>
      <c r="G66">
        <v>0.102721630743734</v>
      </c>
      <c r="H66" s="1">
        <v>0.102721630743734</v>
      </c>
      <c r="I66">
        <v>311550.81199999998</v>
      </c>
      <c r="J66">
        <v>311.55081200000001</v>
      </c>
      <c r="K66">
        <v>311550.81199999998</v>
      </c>
      <c r="L66">
        <v>314024.01199999999</v>
      </c>
      <c r="M66">
        <v>-7.8758308456999999E-3</v>
      </c>
      <c r="N66" s="1">
        <v>-7.8758308457000104E-3</v>
      </c>
      <c r="O66">
        <v>1357309.702</v>
      </c>
      <c r="P66">
        <v>1357.309702</v>
      </c>
      <c r="Q66">
        <v>1357309.702</v>
      </c>
      <c r="R66">
        <v>1635308.6235</v>
      </c>
      <c r="S66">
        <v>-0.16999783252228401</v>
      </c>
      <c r="T66" s="1">
        <v>-0.16999783252228401</v>
      </c>
    </row>
    <row r="67" spans="1:20" x14ac:dyDescent="0.3">
      <c r="A67" t="s">
        <v>17</v>
      </c>
      <c r="B67">
        <v>12550.467000000001</v>
      </c>
      <c r="C67">
        <v>12.550466999999999</v>
      </c>
      <c r="D67">
        <v>12.550466999999999</v>
      </c>
      <c r="E67">
        <v>12550.467000000001</v>
      </c>
      <c r="F67">
        <v>12928.453</v>
      </c>
      <c r="G67">
        <v>-2.9236754002973299E-2</v>
      </c>
      <c r="H67" s="1">
        <v>-2.9236754002973299E-2</v>
      </c>
      <c r="I67">
        <v>119749.011</v>
      </c>
      <c r="J67">
        <v>119.749011</v>
      </c>
      <c r="K67">
        <v>119749.011</v>
      </c>
      <c r="L67">
        <v>127486.71400000001</v>
      </c>
      <c r="M67">
        <v>-6.0694191239410701E-2</v>
      </c>
      <c r="N67" s="1">
        <v>-6.0694191239410701E-2</v>
      </c>
      <c r="O67">
        <v>594054.00399999996</v>
      </c>
      <c r="P67">
        <v>594.05400399999996</v>
      </c>
      <c r="Q67">
        <v>594054.00399999996</v>
      </c>
      <c r="R67">
        <v>690974.46649999998</v>
      </c>
      <c r="S67">
        <v>-0.14026634441491301</v>
      </c>
      <c r="T67" s="1">
        <v>-0.14026634441491301</v>
      </c>
    </row>
    <row r="68" spans="1:20" x14ac:dyDescent="0.3">
      <c r="A68" t="s">
        <v>18</v>
      </c>
      <c r="B68">
        <v>23659</v>
      </c>
      <c r="C68">
        <v>23.658999999999999</v>
      </c>
      <c r="D68">
        <v>23.658999999999999</v>
      </c>
      <c r="E68">
        <v>23659</v>
      </c>
      <c r="F68">
        <v>19908</v>
      </c>
      <c r="G68">
        <v>0.18841671689772899</v>
      </c>
      <c r="H68" s="1">
        <v>0.18841671689772899</v>
      </c>
      <c r="I68">
        <v>191801.80100000001</v>
      </c>
      <c r="J68">
        <v>191.80180100000001</v>
      </c>
      <c r="K68">
        <v>191801.80100000001</v>
      </c>
      <c r="L68">
        <v>186537.29800000001</v>
      </c>
      <c r="M68">
        <v>2.82222539751808E-2</v>
      </c>
      <c r="N68" s="1">
        <v>2.82222539751808E-2</v>
      </c>
      <c r="O68">
        <v>763255.69799999997</v>
      </c>
      <c r="P68">
        <v>763.25569799999903</v>
      </c>
      <c r="Q68">
        <v>763255.69799999997</v>
      </c>
      <c r="R68">
        <v>944334.15700000001</v>
      </c>
      <c r="S68">
        <v>-0.191752524948644</v>
      </c>
      <c r="T68" s="1">
        <v>-0.191752524948645</v>
      </c>
    </row>
    <row r="69" spans="1:20" x14ac:dyDescent="0.3">
      <c r="A69" t="s">
        <v>25</v>
      </c>
      <c r="B69">
        <v>314</v>
      </c>
      <c r="C69">
        <v>0.314</v>
      </c>
      <c r="D69">
        <v>0.314</v>
      </c>
      <c r="E69">
        <v>314</v>
      </c>
      <c r="F69">
        <v>150</v>
      </c>
      <c r="G69">
        <v>1.0933333333333299</v>
      </c>
      <c r="H69" s="1">
        <v>1.0933333333333299</v>
      </c>
      <c r="I69">
        <v>3932</v>
      </c>
      <c r="J69">
        <v>3.9319999999999999</v>
      </c>
      <c r="K69">
        <v>3932</v>
      </c>
      <c r="L69">
        <v>1176.5</v>
      </c>
      <c r="M69">
        <v>2.3421164470888201</v>
      </c>
      <c r="N69" s="1">
        <v>2.3421164470888201</v>
      </c>
      <c r="O69">
        <v>11498</v>
      </c>
      <c r="P69">
        <v>11.497999999999999</v>
      </c>
      <c r="Q69">
        <v>11498</v>
      </c>
      <c r="R69">
        <v>7377.5</v>
      </c>
      <c r="S69">
        <v>0.55852253473398805</v>
      </c>
      <c r="T69" s="1">
        <v>0.55852253473398805</v>
      </c>
    </row>
    <row r="70" spans="1:20" x14ac:dyDescent="0.3">
      <c r="A70" t="s">
        <v>26</v>
      </c>
      <c r="B70">
        <v>43567.224000000002</v>
      </c>
      <c r="C70">
        <v>43.567224000000003</v>
      </c>
      <c r="D70">
        <v>43.567224000000003</v>
      </c>
      <c r="E70">
        <v>43567.224000000002</v>
      </c>
      <c r="F70">
        <v>49995.928</v>
      </c>
      <c r="G70">
        <v>-0.12858455192590801</v>
      </c>
      <c r="H70" s="1">
        <v>-0.12858455192590801</v>
      </c>
      <c r="I70">
        <v>400223.79300000001</v>
      </c>
      <c r="J70">
        <v>400.223793</v>
      </c>
      <c r="K70">
        <v>400223.79300000001</v>
      </c>
      <c r="L70">
        <v>433478.64399999997</v>
      </c>
      <c r="M70">
        <v>-7.6716238412889395E-2</v>
      </c>
      <c r="N70" s="1">
        <v>-7.6716238412889395E-2</v>
      </c>
      <c r="O70">
        <v>1743720.7322499999</v>
      </c>
      <c r="P70">
        <v>1743.7207322500001</v>
      </c>
      <c r="Q70">
        <v>1743720.7322499999</v>
      </c>
      <c r="R70">
        <v>2163909.0989999999</v>
      </c>
      <c r="S70">
        <v>-0.19418023009570001</v>
      </c>
      <c r="T70" s="1">
        <v>-0.19418023009570001</v>
      </c>
    </row>
    <row r="71" spans="1:20" x14ac:dyDescent="0.3">
      <c r="A71" t="s">
        <v>27</v>
      </c>
      <c r="B71">
        <v>43507.224000000002</v>
      </c>
      <c r="C71">
        <v>43.507224000000001</v>
      </c>
      <c r="D71">
        <v>43.507224000000001</v>
      </c>
      <c r="E71">
        <v>43507.224000000002</v>
      </c>
      <c r="F71">
        <v>49010.928</v>
      </c>
      <c r="G71">
        <v>-0.112295445619801</v>
      </c>
      <c r="H71" s="1">
        <v>-0.112295445619801</v>
      </c>
      <c r="I71">
        <v>396795.29300000001</v>
      </c>
      <c r="J71">
        <v>396.79529300000002</v>
      </c>
      <c r="K71">
        <v>396795.29300000001</v>
      </c>
      <c r="L71">
        <v>429830.14399999997</v>
      </c>
      <c r="M71">
        <v>-7.6855593915721304E-2</v>
      </c>
      <c r="N71" s="1">
        <v>-7.6855593915721304E-2</v>
      </c>
      <c r="O71">
        <v>1727618.2322499999</v>
      </c>
      <c r="P71">
        <v>1727.6182322499999</v>
      </c>
      <c r="Q71">
        <v>1727618.2322499999</v>
      </c>
      <c r="R71">
        <v>2149505.5989999999</v>
      </c>
      <c r="S71">
        <v>-0.19627181568927801</v>
      </c>
      <c r="T71" s="1">
        <v>-0.19627181568927801</v>
      </c>
    </row>
    <row r="72" spans="1:20" x14ac:dyDescent="0.3">
      <c r="A72" t="s">
        <v>17</v>
      </c>
      <c r="B72">
        <v>16023.433999999999</v>
      </c>
      <c r="C72">
        <v>16.023434000000002</v>
      </c>
      <c r="D72">
        <v>16.023434000000002</v>
      </c>
      <c r="E72">
        <v>16023.433999999999</v>
      </c>
      <c r="F72">
        <v>17155.600999999999</v>
      </c>
      <c r="G72">
        <v>-6.5994015598754299E-2</v>
      </c>
      <c r="H72" s="1">
        <v>-6.5994015598754299E-2</v>
      </c>
      <c r="I72">
        <v>149469.93599999999</v>
      </c>
      <c r="J72">
        <v>149.46993599999999</v>
      </c>
      <c r="K72">
        <v>149469.93599999999</v>
      </c>
      <c r="L72">
        <v>167667.03200000001</v>
      </c>
      <c r="M72">
        <v>-0.108531151192561</v>
      </c>
      <c r="N72" s="1">
        <v>-0.108531151192561</v>
      </c>
      <c r="O72">
        <v>753800.95825000003</v>
      </c>
      <c r="P72">
        <v>753.80095825000001</v>
      </c>
      <c r="Q72">
        <v>753800.95825000003</v>
      </c>
      <c r="R72">
        <v>885361.72499999998</v>
      </c>
      <c r="S72">
        <v>-0.14859549835407601</v>
      </c>
      <c r="T72" s="1">
        <v>-0.14859549835407601</v>
      </c>
    </row>
    <row r="73" spans="1:20" x14ac:dyDescent="0.3">
      <c r="A73" t="s">
        <v>18</v>
      </c>
      <c r="B73">
        <v>27483.79</v>
      </c>
      <c r="C73">
        <v>27.483789999999999</v>
      </c>
      <c r="D73">
        <v>27.483789999999999</v>
      </c>
      <c r="E73">
        <v>27483.79</v>
      </c>
      <c r="F73">
        <v>31855.327000000001</v>
      </c>
      <c r="G73">
        <v>-0.13723095669367899</v>
      </c>
      <c r="H73" s="1">
        <v>-0.13723095669367899</v>
      </c>
      <c r="I73">
        <v>247325.35699999999</v>
      </c>
      <c r="J73">
        <v>247.325357</v>
      </c>
      <c r="K73">
        <v>247325.35699999999</v>
      </c>
      <c r="L73">
        <v>262163.11200000002</v>
      </c>
      <c r="M73">
        <v>-5.6597417107255001E-2</v>
      </c>
      <c r="N73" s="1">
        <v>-5.6597417107255001E-2</v>
      </c>
      <c r="O73">
        <v>973817.27399999998</v>
      </c>
      <c r="P73">
        <v>973.817274</v>
      </c>
      <c r="Q73">
        <v>973817.27399999998</v>
      </c>
      <c r="R73">
        <v>1264143.8740000001</v>
      </c>
      <c r="S73">
        <v>-0.22966262461989301</v>
      </c>
      <c r="T73" s="1">
        <v>-0.22966262461989301</v>
      </c>
    </row>
    <row r="74" spans="1:20" x14ac:dyDescent="0.3">
      <c r="A74" t="s">
        <v>28</v>
      </c>
      <c r="B74">
        <v>60</v>
      </c>
      <c r="C74">
        <v>0.06</v>
      </c>
      <c r="D74">
        <v>0.06</v>
      </c>
      <c r="E74">
        <v>60</v>
      </c>
      <c r="F74">
        <v>985</v>
      </c>
      <c r="G74">
        <v>-0.93908629441624303</v>
      </c>
      <c r="H74" s="1">
        <v>-0.93908629441624303</v>
      </c>
      <c r="I74">
        <v>3428.5</v>
      </c>
      <c r="J74">
        <v>3.4285000000000001</v>
      </c>
      <c r="K74">
        <v>3428.5</v>
      </c>
      <c r="L74">
        <v>3648.5</v>
      </c>
      <c r="M74">
        <v>-6.0298752912155598E-2</v>
      </c>
      <c r="N74" s="1">
        <v>-6.0298752912155598E-2</v>
      </c>
      <c r="O74">
        <v>16102.5</v>
      </c>
      <c r="P74">
        <v>16.102499999999999</v>
      </c>
      <c r="Q74">
        <v>16102.5</v>
      </c>
      <c r="R74">
        <v>14403.5</v>
      </c>
      <c r="S74">
        <v>0.117957440899781</v>
      </c>
      <c r="T74" s="1">
        <v>0.117957440899781</v>
      </c>
    </row>
    <row r="75" spans="1:20" x14ac:dyDescent="0.3">
      <c r="A75" t="s">
        <v>29</v>
      </c>
      <c r="B75">
        <v>91172.775999999998</v>
      </c>
      <c r="C75">
        <v>91.172775999999999</v>
      </c>
      <c r="D75">
        <v>91.172775999999999</v>
      </c>
      <c r="E75">
        <v>91172.775999999998</v>
      </c>
      <c r="F75">
        <v>99913.541999999899</v>
      </c>
      <c r="G75">
        <v>-8.7483296308322106E-2</v>
      </c>
      <c r="H75" s="1">
        <v>-8.7483296308322106E-2</v>
      </c>
      <c r="I75">
        <v>831980.674999999</v>
      </c>
      <c r="J75">
        <v>831.980674999999</v>
      </c>
      <c r="K75">
        <v>831980.674999999</v>
      </c>
      <c r="L75">
        <v>918360.48100000003</v>
      </c>
      <c r="M75">
        <v>-9.4058714183717196E-2</v>
      </c>
      <c r="N75" s="1">
        <v>-9.4058714183717196E-2</v>
      </c>
      <c r="O75">
        <v>4502829.18</v>
      </c>
      <c r="P75">
        <v>4502.8291799999997</v>
      </c>
      <c r="Q75">
        <v>4502829.18</v>
      </c>
      <c r="R75">
        <v>4969568.7434999999</v>
      </c>
      <c r="S75">
        <v>-9.3919530564996204E-2</v>
      </c>
      <c r="T75" s="1">
        <v>-9.3919530564996204E-2</v>
      </c>
    </row>
    <row r="76" spans="1:20" x14ac:dyDescent="0.3">
      <c r="A76" t="s">
        <v>30</v>
      </c>
      <c r="B76">
        <v>91072.775999999998</v>
      </c>
      <c r="C76">
        <v>91.072776000000005</v>
      </c>
      <c r="D76">
        <v>91.072776000000005</v>
      </c>
      <c r="E76">
        <v>91072.775999999998</v>
      </c>
      <c r="F76">
        <v>99783.541999999899</v>
      </c>
      <c r="G76">
        <v>-8.7296620518842502E-2</v>
      </c>
      <c r="H76" s="1">
        <v>-8.7296620518842502E-2</v>
      </c>
      <c r="I76">
        <v>830068.174999999</v>
      </c>
      <c r="J76">
        <v>830.06817499999897</v>
      </c>
      <c r="K76">
        <v>830068.174999999</v>
      </c>
      <c r="L76">
        <v>917805.48100000003</v>
      </c>
      <c r="M76">
        <v>-9.5594663375081795E-2</v>
      </c>
      <c r="N76" s="1">
        <v>-9.5594663375081795E-2</v>
      </c>
      <c r="O76">
        <v>4494045.68</v>
      </c>
      <c r="P76">
        <v>4494.0456800000002</v>
      </c>
      <c r="Q76">
        <v>4494045.68</v>
      </c>
      <c r="R76">
        <v>4963502.7434999999</v>
      </c>
      <c r="S76">
        <v>-9.4581808001371601E-2</v>
      </c>
      <c r="T76" s="1">
        <v>-9.4581808001371601E-2</v>
      </c>
    </row>
    <row r="77" spans="1:20" x14ac:dyDescent="0.3">
      <c r="A77" t="s">
        <v>17</v>
      </c>
      <c r="B77">
        <v>37567.448999999899</v>
      </c>
      <c r="C77">
        <v>37.567449000000003</v>
      </c>
      <c r="D77">
        <v>37.567449000000003</v>
      </c>
      <c r="E77">
        <v>37567.448999999899</v>
      </c>
      <c r="F77">
        <v>41374.216999999997</v>
      </c>
      <c r="G77">
        <v>-9.2008218548281007E-2</v>
      </c>
      <c r="H77" s="1">
        <v>-9.2008218548281007E-2</v>
      </c>
      <c r="I77">
        <v>352622.88799999899</v>
      </c>
      <c r="J77">
        <v>352.62288799999902</v>
      </c>
      <c r="K77">
        <v>352622.88799999899</v>
      </c>
      <c r="L77">
        <v>388399.20799999998</v>
      </c>
      <c r="M77">
        <v>-9.21122372628526E-2</v>
      </c>
      <c r="N77" s="1">
        <v>-9.21122372628526E-2</v>
      </c>
      <c r="O77">
        <v>1941189.189</v>
      </c>
      <c r="P77">
        <v>1941.1891889999999</v>
      </c>
      <c r="Q77">
        <v>1941189.189</v>
      </c>
      <c r="R77">
        <v>2210575.3695</v>
      </c>
      <c r="S77">
        <v>-0.121862472647078</v>
      </c>
      <c r="T77" s="1">
        <v>-0.121862472647078</v>
      </c>
    </row>
    <row r="78" spans="1:20" x14ac:dyDescent="0.3">
      <c r="A78" t="s">
        <v>18</v>
      </c>
      <c r="B78">
        <v>53505.326999999997</v>
      </c>
      <c r="C78">
        <v>53.505327000000001</v>
      </c>
      <c r="D78">
        <v>53.505327000000001</v>
      </c>
      <c r="E78">
        <v>53505.326999999997</v>
      </c>
      <c r="F78">
        <v>58409.324999999997</v>
      </c>
      <c r="G78">
        <v>-8.3959162342656601E-2</v>
      </c>
      <c r="H78" s="1">
        <v>-8.3959162342656601E-2</v>
      </c>
      <c r="I78">
        <v>477445.28700000001</v>
      </c>
      <c r="J78">
        <v>477.44528700000001</v>
      </c>
      <c r="K78">
        <v>477445.28700000001</v>
      </c>
      <c r="L78">
        <v>529406.27300000004</v>
      </c>
      <c r="M78">
        <v>-9.8149547238175594E-2</v>
      </c>
      <c r="N78" s="1">
        <v>-9.8149547238175594E-2</v>
      </c>
      <c r="O78">
        <v>2552856.4909999999</v>
      </c>
      <c r="P78">
        <v>2552.856491</v>
      </c>
      <c r="Q78">
        <v>2552856.4909999999</v>
      </c>
      <c r="R78">
        <v>2752927.3739999998</v>
      </c>
      <c r="S78">
        <v>-7.26756851232499E-2</v>
      </c>
      <c r="T78" s="1">
        <v>-7.26756851232499E-2</v>
      </c>
    </row>
    <row r="79" spans="1:20" x14ac:dyDescent="0.3">
      <c r="A79" t="s">
        <v>31</v>
      </c>
      <c r="B79">
        <v>100</v>
      </c>
      <c r="C79">
        <v>0.1</v>
      </c>
      <c r="D79">
        <v>0.1</v>
      </c>
      <c r="E79">
        <v>100</v>
      </c>
      <c r="F79">
        <v>130</v>
      </c>
      <c r="G79">
        <v>-0.23076923076923</v>
      </c>
      <c r="H79" s="1">
        <v>-0.23076923076923</v>
      </c>
      <c r="I79">
        <v>1912.5</v>
      </c>
      <c r="J79">
        <v>1.9125000000000001</v>
      </c>
      <c r="K79">
        <v>1912.5</v>
      </c>
      <c r="L79">
        <v>555</v>
      </c>
      <c r="M79">
        <v>2.4459459459459398</v>
      </c>
      <c r="N79" s="1">
        <v>2.4459459459459398</v>
      </c>
      <c r="O79">
        <v>8783.5</v>
      </c>
      <c r="P79">
        <v>8.7835000000000001</v>
      </c>
      <c r="Q79">
        <v>8783.5</v>
      </c>
      <c r="R79">
        <v>6066</v>
      </c>
      <c r="S79">
        <v>0.44798878997691999</v>
      </c>
      <c r="T79" s="1">
        <v>0.44798878997691999</v>
      </c>
    </row>
    <row r="80" spans="1:20" x14ac:dyDescent="0.3">
      <c r="A80" t="s">
        <v>35</v>
      </c>
      <c r="B80">
        <v>0</v>
      </c>
      <c r="C80">
        <v>0</v>
      </c>
      <c r="D80">
        <v>0</v>
      </c>
      <c r="E80">
        <v>0</v>
      </c>
      <c r="F80">
        <v>94</v>
      </c>
      <c r="G80">
        <v>-1</v>
      </c>
      <c r="H80" s="1">
        <v>-1</v>
      </c>
      <c r="I80">
        <v>0</v>
      </c>
      <c r="J80">
        <v>0</v>
      </c>
      <c r="K80">
        <v>0</v>
      </c>
      <c r="L80">
        <v>435.5</v>
      </c>
      <c r="M80">
        <v>-1</v>
      </c>
      <c r="N80" s="1">
        <v>-1</v>
      </c>
      <c r="O80">
        <v>0</v>
      </c>
      <c r="P80">
        <v>0</v>
      </c>
      <c r="Q80">
        <v>0</v>
      </c>
      <c r="R80">
        <v>2577</v>
      </c>
      <c r="S80">
        <v>-1</v>
      </c>
      <c r="T80" s="1">
        <v>-1</v>
      </c>
    </row>
    <row r="82" spans="1:20" x14ac:dyDescent="0.3">
      <c r="A82" s="3" t="s">
        <v>40</v>
      </c>
      <c r="B82" s="3">
        <f>B49+B54+B59+B65+B70+B75+B80</f>
        <v>336484.04499999993</v>
      </c>
      <c r="C82" s="3">
        <f>B82/1000</f>
        <v>336.48404499999992</v>
      </c>
      <c r="D82" s="3">
        <f>C82</f>
        <v>336.48404499999992</v>
      </c>
      <c r="E82" s="3">
        <f>E49+E54+E59+E65+E70+E75+E80</f>
        <v>336484.04499999993</v>
      </c>
      <c r="F82" s="3">
        <f>F49+F54+F59+F65+F70+F75+F80</f>
        <v>376659.69499999983</v>
      </c>
      <c r="G82" s="3">
        <f>(E82-F82)/F82</f>
        <v>-0.10666299190838543</v>
      </c>
      <c r="H82" s="4">
        <f>G82</f>
        <v>-0.10666299190838543</v>
      </c>
      <c r="I82" s="3">
        <f>I49+I54+I59+I65+I70+I75+I80</f>
        <v>3062668.859999998</v>
      </c>
      <c r="J82" s="3">
        <f>I82/1000</f>
        <v>3062.6688599999979</v>
      </c>
      <c r="K82" s="3">
        <f>K49+K54+K59+K65+K70+K75+K80</f>
        <v>3062668.859999998</v>
      </c>
      <c r="L82" s="3">
        <f>L49+L54+L59+L65+L70+L75+L80</f>
        <v>3484557.1967499978</v>
      </c>
      <c r="M82" s="3">
        <f>(K82-L82)/L82</f>
        <v>-0.12107372986831431</v>
      </c>
      <c r="N82" s="4">
        <f>M82</f>
        <v>-0.12107372986831431</v>
      </c>
      <c r="O82" s="3">
        <f>O49+O54+O59+O65+O70+O75+O80</f>
        <v>15307288.813499998</v>
      </c>
      <c r="P82" s="3">
        <f>O82/1000</f>
        <v>15307.288813499998</v>
      </c>
      <c r="Q82" s="3">
        <f>Q49+Q54+Q59+Q65+Q70+Q75+Q80</f>
        <v>15307288.813499998</v>
      </c>
      <c r="R82" s="3">
        <f>R49+R54+R59+R65+R70+R75+R80</f>
        <v>18066497.771750003</v>
      </c>
      <c r="S82" s="3">
        <f>(Q82-R82)/R82</f>
        <v>-0.15272517081669754</v>
      </c>
      <c r="T82" s="4">
        <f>S82</f>
        <v>-0.15272517081669754</v>
      </c>
    </row>
    <row r="83" spans="1:20" x14ac:dyDescent="0.3">
      <c r="B83" s="5">
        <f>B47-B82</f>
        <v>0</v>
      </c>
      <c r="C83" s="5">
        <f t="shared" ref="C83" si="1">C47-C82</f>
        <v>0</v>
      </c>
      <c r="D83" s="5">
        <f t="shared" ref="D83" si="2">D47-D82</f>
        <v>0</v>
      </c>
      <c r="E83" s="5">
        <f t="shared" ref="E83" si="3">E47-E82</f>
        <v>0</v>
      </c>
      <c r="F83" s="5">
        <f t="shared" ref="F83" si="4">F47-F82</f>
        <v>0</v>
      </c>
      <c r="G83" s="5">
        <f t="shared" ref="G83" si="5">G47-G82</f>
        <v>4.3021142204224816E-16</v>
      </c>
      <c r="H83" s="5">
        <f t="shared" ref="H83" si="6">H47-H82</f>
        <v>4.3021142204224816E-16</v>
      </c>
      <c r="I83" s="5">
        <f>I47-I82</f>
        <v>0</v>
      </c>
      <c r="J83" s="5">
        <f t="shared" ref="J83" si="7">J47-J82</f>
        <v>0</v>
      </c>
      <c r="K83" s="5">
        <f t="shared" ref="K83" si="8">K47-K82</f>
        <v>0</v>
      </c>
      <c r="L83" s="5">
        <f t="shared" ref="L83" si="9">L47-L82</f>
        <v>0</v>
      </c>
      <c r="M83" s="5">
        <f t="shared" ref="M83" si="10">M47-M82</f>
        <v>3.1918911957973251E-16</v>
      </c>
      <c r="N83" s="5">
        <f t="shared" ref="N83" si="11">N47-N82</f>
        <v>3.1918911957973251E-16</v>
      </c>
      <c r="O83" s="5">
        <f t="shared" ref="O83" si="12">O47-O82</f>
        <v>0</v>
      </c>
      <c r="P83" s="5">
        <f t="shared" ref="P83" si="13">P47-P82</f>
        <v>0</v>
      </c>
      <c r="Q83" s="5">
        <f t="shared" ref="Q83" si="14">Q47-Q82</f>
        <v>0</v>
      </c>
      <c r="R83" s="5">
        <f t="shared" ref="R83" si="15">R47-R82</f>
        <v>0</v>
      </c>
      <c r="S83" s="5">
        <f t="shared" ref="S83" si="16">S47-S82</f>
        <v>5.2735593669694936E-16</v>
      </c>
      <c r="T83" s="5">
        <f t="shared" ref="T83" si="17">T47-T82</f>
        <v>5.2735593669694936E-16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2EBB-399E-4D7E-886D-231DC6B44CB9}">
  <dimension ref="A1:Z112"/>
  <sheetViews>
    <sheetView topLeftCell="F43" zoomScaleNormal="100" workbookViewId="0">
      <selection activeCell="G47" sqref="G47"/>
    </sheetView>
  </sheetViews>
  <sheetFormatPr defaultRowHeight="14" x14ac:dyDescent="0.3"/>
  <cols>
    <col min="1" max="1" width="15.58203125" bestFit="1" customWidth="1"/>
    <col min="2" max="2" width="13.08203125" style="7" bestFit="1" customWidth="1"/>
    <col min="3" max="3" width="8.83203125" bestFit="1" customWidth="1"/>
    <col min="4" max="4" width="11.75" style="7" bestFit="1" customWidth="1"/>
    <col min="5" max="5" width="8.83203125" bestFit="1" customWidth="1"/>
    <col min="6" max="6" width="8.25" bestFit="1" customWidth="1"/>
    <col min="7" max="7" width="11.75" style="7" bestFit="1" customWidth="1"/>
    <col min="8" max="8" width="16.5" bestFit="1" customWidth="1"/>
    <col min="9" max="9" width="11.6640625" customWidth="1"/>
    <col min="10" max="10" width="16.5" bestFit="1" customWidth="1"/>
    <col min="11" max="11" width="10" bestFit="1" customWidth="1"/>
    <col min="12" max="12" width="11.6640625" customWidth="1"/>
    <col min="13" max="13" width="10" bestFit="1" customWidth="1"/>
    <col min="14" max="14" width="10.6640625" customWidth="1"/>
  </cols>
  <sheetData>
    <row r="1" spans="1:26" x14ac:dyDescent="0.3">
      <c r="A1" t="s">
        <v>0</v>
      </c>
      <c r="B1" s="6" t="s">
        <v>2</v>
      </c>
      <c r="C1" s="2" t="s">
        <v>4</v>
      </c>
      <c r="D1" s="6" t="s">
        <v>6</v>
      </c>
      <c r="E1" s="2" t="s">
        <v>4</v>
      </c>
      <c r="F1" s="2" t="s">
        <v>9</v>
      </c>
      <c r="G1" s="6" t="s">
        <v>11</v>
      </c>
      <c r="H1" s="2" t="s">
        <v>4</v>
      </c>
      <c r="I1" s="2" t="s">
        <v>9</v>
      </c>
      <c r="J1" t="s">
        <v>0</v>
      </c>
      <c r="K1" t="s">
        <v>2</v>
      </c>
      <c r="L1" t="s">
        <v>4</v>
      </c>
      <c r="M1" t="s">
        <v>6</v>
      </c>
      <c r="N1" t="s">
        <v>4</v>
      </c>
      <c r="O1" t="s">
        <v>9</v>
      </c>
      <c r="P1" t="s">
        <v>11</v>
      </c>
      <c r="Q1" t="s">
        <v>4</v>
      </c>
      <c r="R1" t="s">
        <v>9</v>
      </c>
      <c r="S1" s="15" t="s">
        <v>2</v>
      </c>
      <c r="T1" s="17" t="s">
        <v>4</v>
      </c>
      <c r="U1" s="15" t="s">
        <v>6</v>
      </c>
      <c r="V1" s="17" t="s">
        <v>4</v>
      </c>
      <c r="W1" s="17" t="s">
        <v>9</v>
      </c>
      <c r="X1" s="15" t="s">
        <v>11</v>
      </c>
      <c r="Y1" s="17" t="s">
        <v>4</v>
      </c>
      <c r="Z1" s="17" t="s">
        <v>9</v>
      </c>
    </row>
    <row r="2" spans="1:26" x14ac:dyDescent="0.3">
      <c r="A2" t="s">
        <v>14</v>
      </c>
      <c r="B2" s="7">
        <v>72.599999999999994</v>
      </c>
      <c r="C2" s="1">
        <v>-0.126</v>
      </c>
      <c r="D2" s="7">
        <v>657.9</v>
      </c>
      <c r="E2" s="1">
        <v>-0.13400000000000001</v>
      </c>
      <c r="F2" s="1">
        <v>-5.7000000000000002E-2</v>
      </c>
      <c r="G2" s="7">
        <v>3238.3</v>
      </c>
      <c r="H2" s="1">
        <v>-0.17199999999999999</v>
      </c>
      <c r="I2" s="1">
        <v>-1.2E-2</v>
      </c>
      <c r="J2" t="s">
        <v>39</v>
      </c>
      <c r="K2">
        <v>72.599999999999994</v>
      </c>
      <c r="L2" s="1">
        <v>-0.126</v>
      </c>
      <c r="M2">
        <v>657.9</v>
      </c>
      <c r="N2" s="1">
        <v>-0.13400000000000001</v>
      </c>
      <c r="O2" s="1">
        <v>-5.7000000000000002E-2</v>
      </c>
      <c r="P2">
        <v>3238.3</v>
      </c>
      <c r="Q2" s="1">
        <v>-0.17199999999999999</v>
      </c>
      <c r="R2" s="1">
        <v>-1.2E-2</v>
      </c>
      <c r="S2" s="10">
        <f t="shared" ref="S2:S35" si="0">B2-K2</f>
        <v>0</v>
      </c>
      <c r="T2" s="10">
        <f t="shared" ref="T2:T35" si="1">C2-L2</f>
        <v>0</v>
      </c>
      <c r="U2" s="10">
        <f t="shared" ref="U2:U35" si="2">D2-M2</f>
        <v>0</v>
      </c>
      <c r="V2" s="10">
        <f t="shared" ref="V2:V35" si="3">E2-N2</f>
        <v>0</v>
      </c>
      <c r="W2" s="10">
        <f t="shared" ref="W2:W35" si="4">F2-O2</f>
        <v>0</v>
      </c>
      <c r="X2" s="10">
        <f t="shared" ref="X2:X35" si="5">G2-P2</f>
        <v>0</v>
      </c>
      <c r="Y2" s="10">
        <f t="shared" ref="Y2:Y35" si="6">H2-Q2</f>
        <v>0</v>
      </c>
      <c r="Z2" s="10">
        <f t="shared" ref="Z2:Z35" si="7">I2-R2</f>
        <v>0</v>
      </c>
    </row>
    <row r="3" spans="1:26" x14ac:dyDescent="0.3">
      <c r="A3" s="3" t="s">
        <v>37</v>
      </c>
      <c r="B3" s="8">
        <v>36.6</v>
      </c>
      <c r="C3" s="4">
        <v>-0.14499999999999999</v>
      </c>
      <c r="D3" s="8">
        <v>330.2</v>
      </c>
      <c r="E3" s="4">
        <v>-0.17100000000000001</v>
      </c>
      <c r="F3" s="4">
        <v>-8.3000000000000004E-2</v>
      </c>
      <c r="G3" s="8">
        <v>1658.9</v>
      </c>
      <c r="H3" s="4">
        <v>-0.17599999999999999</v>
      </c>
      <c r="I3" s="4">
        <v>-1.7999999999999999E-2</v>
      </c>
      <c r="J3" t="s">
        <v>37</v>
      </c>
      <c r="K3">
        <v>36.6</v>
      </c>
      <c r="L3" s="1">
        <v>-0.14499999999999999</v>
      </c>
      <c r="M3">
        <v>330.2</v>
      </c>
      <c r="N3" s="1">
        <v>-0.17100000000000001</v>
      </c>
      <c r="O3" s="1">
        <v>-8.3000000000000004E-2</v>
      </c>
      <c r="P3">
        <v>1658.9</v>
      </c>
      <c r="Q3" s="1">
        <v>-0.17599999999999999</v>
      </c>
      <c r="R3" s="1">
        <v>-1.7999999999999999E-2</v>
      </c>
      <c r="S3" s="10">
        <f t="shared" si="0"/>
        <v>0</v>
      </c>
      <c r="T3" s="10">
        <f t="shared" si="1"/>
        <v>0</v>
      </c>
      <c r="U3" s="10">
        <f t="shared" si="2"/>
        <v>0</v>
      </c>
      <c r="V3" s="10">
        <f t="shared" si="3"/>
        <v>0</v>
      </c>
      <c r="W3" s="10">
        <f t="shared" si="4"/>
        <v>0</v>
      </c>
      <c r="X3" s="10">
        <f t="shared" si="5"/>
        <v>0</v>
      </c>
      <c r="Y3" s="10">
        <f t="shared" si="6"/>
        <v>0</v>
      </c>
      <c r="Z3" s="10">
        <f t="shared" si="7"/>
        <v>0</v>
      </c>
    </row>
    <row r="4" spans="1:26" x14ac:dyDescent="0.3">
      <c r="A4" t="s">
        <v>15</v>
      </c>
      <c r="B4" s="7">
        <v>11.9</v>
      </c>
      <c r="C4" s="1">
        <v>-0.27100000000000002</v>
      </c>
      <c r="D4" s="7">
        <v>120.8</v>
      </c>
      <c r="E4" s="1">
        <v>-0.17499999999999999</v>
      </c>
      <c r="F4" s="1">
        <v>-8.4000000000000005E-2</v>
      </c>
      <c r="G4" s="7">
        <v>652.5</v>
      </c>
      <c r="H4" s="1">
        <v>-0.18099999999999999</v>
      </c>
      <c r="I4" s="1">
        <v>-1.7000000000000001E-2</v>
      </c>
      <c r="J4" t="s">
        <v>15</v>
      </c>
      <c r="K4">
        <v>11.9</v>
      </c>
      <c r="L4" s="1">
        <v>-0.27100000000000002</v>
      </c>
      <c r="M4">
        <v>120.8</v>
      </c>
      <c r="N4" s="1">
        <v>-0.17499999999999999</v>
      </c>
      <c r="O4" s="1">
        <v>-8.4000000000000005E-2</v>
      </c>
      <c r="P4">
        <v>652.5</v>
      </c>
      <c r="Q4" s="1">
        <v>-0.18099999999999999</v>
      </c>
      <c r="R4" s="1">
        <v>-1.7000000000000001E-2</v>
      </c>
      <c r="S4" s="10">
        <f t="shared" si="0"/>
        <v>0</v>
      </c>
      <c r="T4" s="10">
        <f t="shared" si="1"/>
        <v>0</v>
      </c>
      <c r="U4" s="10">
        <f t="shared" si="2"/>
        <v>0</v>
      </c>
      <c r="V4" s="10">
        <f t="shared" si="3"/>
        <v>0</v>
      </c>
      <c r="W4" s="10">
        <f t="shared" si="4"/>
        <v>0</v>
      </c>
      <c r="X4" s="10">
        <f t="shared" si="5"/>
        <v>0</v>
      </c>
      <c r="Y4" s="10">
        <f t="shared" si="6"/>
        <v>0</v>
      </c>
      <c r="Z4" s="10">
        <f t="shared" si="7"/>
        <v>0</v>
      </c>
    </row>
    <row r="5" spans="1:26" x14ac:dyDescent="0.3">
      <c r="A5" t="s">
        <v>16</v>
      </c>
      <c r="B5" s="7">
        <v>11.9</v>
      </c>
      <c r="C5" s="1">
        <v>-0.27200000000000002</v>
      </c>
      <c r="D5" s="7">
        <v>120.5</v>
      </c>
      <c r="E5" s="1">
        <v>-0.17599999999999999</v>
      </c>
      <c r="F5" s="1">
        <v>-8.5000000000000006E-2</v>
      </c>
      <c r="G5" s="7">
        <v>650.9</v>
      </c>
      <c r="H5" s="1">
        <v>-0.182</v>
      </c>
      <c r="I5" s="1">
        <v>-1.7000000000000001E-2</v>
      </c>
      <c r="J5" t="s">
        <v>16</v>
      </c>
      <c r="K5">
        <v>11.9</v>
      </c>
      <c r="L5" s="1">
        <v>-0.27200000000000002</v>
      </c>
      <c r="M5">
        <v>120.5</v>
      </c>
      <c r="N5" s="1">
        <v>-0.17599999999999999</v>
      </c>
      <c r="O5" s="1">
        <v>-8.5000000000000006E-2</v>
      </c>
      <c r="P5">
        <v>650.9</v>
      </c>
      <c r="Q5" s="1">
        <v>-0.182</v>
      </c>
      <c r="R5" s="1">
        <v>-1.7000000000000001E-2</v>
      </c>
      <c r="S5" s="10">
        <f t="shared" si="0"/>
        <v>0</v>
      </c>
      <c r="T5" s="10">
        <f t="shared" si="1"/>
        <v>0</v>
      </c>
      <c r="U5" s="10">
        <f t="shared" si="2"/>
        <v>0</v>
      </c>
      <c r="V5" s="10">
        <f t="shared" si="3"/>
        <v>0</v>
      </c>
      <c r="W5" s="10">
        <f t="shared" si="4"/>
        <v>0</v>
      </c>
      <c r="X5" s="10">
        <f t="shared" si="5"/>
        <v>0</v>
      </c>
      <c r="Y5" s="10">
        <f t="shared" si="6"/>
        <v>0</v>
      </c>
      <c r="Z5" s="10">
        <f t="shared" si="7"/>
        <v>0</v>
      </c>
    </row>
    <row r="6" spans="1:26" x14ac:dyDescent="0.3">
      <c r="A6" t="s">
        <v>17</v>
      </c>
      <c r="B6" s="7">
        <v>7</v>
      </c>
      <c r="C6" s="1">
        <v>-0.19700000000000001</v>
      </c>
      <c r="D6" s="7">
        <v>71.5</v>
      </c>
      <c r="E6" s="1">
        <v>-0.13300000000000001</v>
      </c>
      <c r="F6" s="1">
        <v>-3.6999999999999998E-2</v>
      </c>
      <c r="G6" s="7">
        <v>393.3</v>
      </c>
      <c r="H6" s="1">
        <v>-0.15</v>
      </c>
      <c r="I6" s="1">
        <v>-7.0000000000000001E-3</v>
      </c>
      <c r="J6" t="s">
        <v>17</v>
      </c>
      <c r="K6">
        <v>7</v>
      </c>
      <c r="L6" s="1">
        <v>-0.19700000000000001</v>
      </c>
      <c r="M6">
        <v>71.5</v>
      </c>
      <c r="N6" s="1">
        <v>-0.13300000000000001</v>
      </c>
      <c r="O6" s="1">
        <v>-3.6999999999999998E-2</v>
      </c>
      <c r="P6">
        <v>393.3</v>
      </c>
      <c r="Q6" s="1">
        <v>-0.15</v>
      </c>
      <c r="R6" s="1">
        <v>-7.0000000000000001E-3</v>
      </c>
      <c r="S6" s="10">
        <f t="shared" si="0"/>
        <v>0</v>
      </c>
      <c r="T6" s="10">
        <f t="shared" si="1"/>
        <v>0</v>
      </c>
      <c r="U6" s="10">
        <f t="shared" si="2"/>
        <v>0</v>
      </c>
      <c r="V6" s="10">
        <f t="shared" si="3"/>
        <v>0</v>
      </c>
      <c r="W6" s="10">
        <f t="shared" si="4"/>
        <v>0</v>
      </c>
      <c r="X6" s="10">
        <f t="shared" si="5"/>
        <v>0</v>
      </c>
      <c r="Y6" s="10">
        <f t="shared" si="6"/>
        <v>0</v>
      </c>
      <c r="Z6" s="10">
        <f t="shared" si="7"/>
        <v>0</v>
      </c>
    </row>
    <row r="7" spans="1:26" x14ac:dyDescent="0.3">
      <c r="A7" t="s">
        <v>18</v>
      </c>
      <c r="B7" s="7">
        <v>4.9000000000000004</v>
      </c>
      <c r="C7" s="1">
        <v>-0.35799999999999998</v>
      </c>
      <c r="D7" s="7">
        <v>49</v>
      </c>
      <c r="E7" s="1">
        <v>-0.23100000000000001</v>
      </c>
      <c r="F7" s="1">
        <v>-0.14699999999999999</v>
      </c>
      <c r="G7" s="7">
        <v>257.60000000000002</v>
      </c>
      <c r="H7" s="1">
        <v>-0.22500000000000001</v>
      </c>
      <c r="I7" s="1">
        <v>-3.2000000000000001E-2</v>
      </c>
      <c r="J7" t="s">
        <v>18</v>
      </c>
      <c r="K7">
        <v>4.9000000000000004</v>
      </c>
      <c r="L7" s="1">
        <v>-0.35799999999999998</v>
      </c>
      <c r="M7">
        <v>49</v>
      </c>
      <c r="N7" s="1">
        <v>-0.23100000000000001</v>
      </c>
      <c r="O7" s="1">
        <v>-0.14699999999999999</v>
      </c>
      <c r="P7">
        <v>257.60000000000002</v>
      </c>
      <c r="Q7" s="1">
        <v>-0.22500000000000001</v>
      </c>
      <c r="R7" s="1">
        <v>-3.2000000000000001E-2</v>
      </c>
      <c r="S7" s="10">
        <f t="shared" si="0"/>
        <v>0</v>
      </c>
      <c r="T7" s="10">
        <f t="shared" si="1"/>
        <v>0</v>
      </c>
      <c r="U7" s="10">
        <f t="shared" si="2"/>
        <v>0</v>
      </c>
      <c r="V7" s="10">
        <f t="shared" si="3"/>
        <v>0</v>
      </c>
      <c r="W7" s="10">
        <f t="shared" si="4"/>
        <v>0</v>
      </c>
      <c r="X7" s="10">
        <f t="shared" si="5"/>
        <v>0</v>
      </c>
      <c r="Y7" s="10">
        <f t="shared" si="6"/>
        <v>0</v>
      </c>
      <c r="Z7" s="10">
        <f t="shared" si="7"/>
        <v>0</v>
      </c>
    </row>
    <row r="8" spans="1:26" x14ac:dyDescent="0.3">
      <c r="A8" t="s">
        <v>19</v>
      </c>
      <c r="B8" s="7">
        <v>0.1</v>
      </c>
      <c r="C8" s="1">
        <v>0.10299999999999999</v>
      </c>
      <c r="D8" s="7">
        <v>0.3</v>
      </c>
      <c r="E8" s="1">
        <v>2.1999999999999999E-2</v>
      </c>
      <c r="F8" s="1">
        <v>2.2149999999999999</v>
      </c>
      <c r="G8" s="7">
        <v>1.6</v>
      </c>
      <c r="H8" s="1">
        <v>0.215</v>
      </c>
      <c r="I8" s="1">
        <v>0.123</v>
      </c>
      <c r="J8" t="s">
        <v>19</v>
      </c>
      <c r="K8">
        <v>0.1</v>
      </c>
      <c r="L8" s="1">
        <v>0.10299999999999999</v>
      </c>
      <c r="M8">
        <v>0.3</v>
      </c>
      <c r="N8" s="1">
        <v>2.1999999999999999E-2</v>
      </c>
      <c r="O8" s="1">
        <v>2.2149999999999999</v>
      </c>
      <c r="P8">
        <v>1.6</v>
      </c>
      <c r="Q8" s="1">
        <v>0.215</v>
      </c>
      <c r="R8" s="1">
        <v>0.123</v>
      </c>
      <c r="S8" s="10">
        <f t="shared" si="0"/>
        <v>0</v>
      </c>
      <c r="T8" s="10">
        <f t="shared" si="1"/>
        <v>0</v>
      </c>
      <c r="U8" s="10">
        <f t="shared" si="2"/>
        <v>0</v>
      </c>
      <c r="V8" s="10">
        <f t="shared" si="3"/>
        <v>0</v>
      </c>
      <c r="W8" s="10">
        <f t="shared" si="4"/>
        <v>0</v>
      </c>
      <c r="X8" s="10">
        <f t="shared" si="5"/>
        <v>0</v>
      </c>
      <c r="Y8" s="10">
        <f t="shared" si="6"/>
        <v>0</v>
      </c>
      <c r="Z8" s="10">
        <f t="shared" si="7"/>
        <v>0</v>
      </c>
    </row>
    <row r="9" spans="1:26" x14ac:dyDescent="0.3">
      <c r="A9" t="s">
        <v>20</v>
      </c>
      <c r="B9" s="7">
        <v>9.5</v>
      </c>
      <c r="C9" s="1">
        <v>8.7999999999999995E-2</v>
      </c>
      <c r="D9" s="7">
        <v>71.5</v>
      </c>
      <c r="E9" s="1">
        <v>-0.161</v>
      </c>
      <c r="F9" s="1">
        <v>-8.7999999999999995E-2</v>
      </c>
      <c r="G9" s="7">
        <v>330.5</v>
      </c>
      <c r="H9" s="1">
        <v>-0.11899999999999999</v>
      </c>
      <c r="I9" s="1">
        <v>-0.02</v>
      </c>
      <c r="J9" t="s">
        <v>20</v>
      </c>
      <c r="K9">
        <v>9.5</v>
      </c>
      <c r="L9" s="1">
        <v>8.7999999999999995E-2</v>
      </c>
      <c r="M9">
        <v>71.5</v>
      </c>
      <c r="N9" s="1">
        <v>-0.161</v>
      </c>
      <c r="O9" s="1">
        <v>-8.7999999999999995E-2</v>
      </c>
      <c r="P9">
        <v>330.5</v>
      </c>
      <c r="Q9" s="1">
        <v>-0.11899999999999999</v>
      </c>
      <c r="R9" s="1">
        <v>-0.02</v>
      </c>
      <c r="S9" s="10">
        <f t="shared" si="0"/>
        <v>0</v>
      </c>
      <c r="T9" s="10">
        <f t="shared" si="1"/>
        <v>0</v>
      </c>
      <c r="U9" s="10">
        <f t="shared" si="2"/>
        <v>0</v>
      </c>
      <c r="V9" s="10">
        <f t="shared" si="3"/>
        <v>0</v>
      </c>
      <c r="W9" s="10">
        <f t="shared" si="4"/>
        <v>0</v>
      </c>
      <c r="X9" s="10">
        <f t="shared" si="5"/>
        <v>0</v>
      </c>
      <c r="Y9" s="10">
        <f t="shared" si="6"/>
        <v>0</v>
      </c>
      <c r="Z9" s="10">
        <f t="shared" si="7"/>
        <v>0</v>
      </c>
    </row>
    <row r="10" spans="1:26" x14ac:dyDescent="0.3">
      <c r="A10" t="s">
        <v>21</v>
      </c>
      <c r="B10" s="7">
        <v>9.5</v>
      </c>
      <c r="C10" s="1">
        <v>9.7000000000000003E-2</v>
      </c>
      <c r="D10" s="7">
        <v>71.3</v>
      </c>
      <c r="E10" s="1">
        <v>-0.16200000000000001</v>
      </c>
      <c r="F10" s="1">
        <v>-8.5999999999999993E-2</v>
      </c>
      <c r="G10" s="7">
        <v>329.9</v>
      </c>
      <c r="H10" s="1">
        <v>-0.11899999999999999</v>
      </c>
      <c r="I10" s="1">
        <v>-0.02</v>
      </c>
      <c r="J10" t="s">
        <v>21</v>
      </c>
      <c r="K10">
        <v>9.5</v>
      </c>
      <c r="L10" s="1">
        <v>9.7000000000000003E-2</v>
      </c>
      <c r="M10">
        <v>71.3</v>
      </c>
      <c r="N10" s="1">
        <v>-0.16200000000000001</v>
      </c>
      <c r="O10" s="1">
        <v>-8.5999999999999993E-2</v>
      </c>
      <c r="P10">
        <v>329.9</v>
      </c>
      <c r="Q10" s="1">
        <v>-0.11899999999999999</v>
      </c>
      <c r="R10" s="1">
        <v>-0.02</v>
      </c>
      <c r="S10" s="10">
        <f t="shared" si="0"/>
        <v>0</v>
      </c>
      <c r="T10" s="10">
        <f t="shared" si="1"/>
        <v>0</v>
      </c>
      <c r="U10" s="10">
        <f t="shared" si="2"/>
        <v>0</v>
      </c>
      <c r="V10" s="10">
        <f t="shared" si="3"/>
        <v>0</v>
      </c>
      <c r="W10" s="10">
        <f t="shared" si="4"/>
        <v>0</v>
      </c>
      <c r="X10" s="10">
        <f t="shared" si="5"/>
        <v>0</v>
      </c>
      <c r="Y10" s="10">
        <f t="shared" si="6"/>
        <v>0</v>
      </c>
      <c r="Z10" s="10">
        <f t="shared" si="7"/>
        <v>0</v>
      </c>
    </row>
    <row r="11" spans="1:26" x14ac:dyDescent="0.3">
      <c r="A11" t="s">
        <v>17</v>
      </c>
      <c r="B11" s="7">
        <v>3.2</v>
      </c>
      <c r="C11" s="1">
        <v>-0.14599999999999999</v>
      </c>
      <c r="D11" s="7">
        <v>29.5</v>
      </c>
      <c r="E11" s="1">
        <v>-0.15</v>
      </c>
      <c r="F11" s="1">
        <v>-8.3000000000000004E-2</v>
      </c>
      <c r="G11" s="7">
        <v>149.1</v>
      </c>
      <c r="H11" s="1">
        <v>-0.11600000000000001</v>
      </c>
      <c r="I11" s="1">
        <v>-1.7999999999999999E-2</v>
      </c>
      <c r="J11" t="s">
        <v>17</v>
      </c>
      <c r="K11">
        <v>3.2</v>
      </c>
      <c r="L11" s="1">
        <v>-0.14599999999999999</v>
      </c>
      <c r="M11">
        <v>29.5</v>
      </c>
      <c r="N11" s="1">
        <v>-0.15</v>
      </c>
      <c r="O11" s="1">
        <v>-8.3000000000000004E-2</v>
      </c>
      <c r="P11">
        <v>149.1</v>
      </c>
      <c r="Q11" s="1">
        <v>-0.11600000000000001</v>
      </c>
      <c r="R11" s="1">
        <v>-1.7999999999999999E-2</v>
      </c>
      <c r="S11" s="10">
        <f t="shared" si="0"/>
        <v>0</v>
      </c>
      <c r="T11" s="10">
        <f t="shared" si="1"/>
        <v>0</v>
      </c>
      <c r="U11" s="10">
        <f t="shared" si="2"/>
        <v>0</v>
      </c>
      <c r="V11" s="10">
        <f t="shared" si="3"/>
        <v>0</v>
      </c>
      <c r="W11" s="10">
        <f t="shared" si="4"/>
        <v>0</v>
      </c>
      <c r="X11" s="10">
        <f t="shared" si="5"/>
        <v>0</v>
      </c>
      <c r="Y11" s="10">
        <f t="shared" si="6"/>
        <v>0</v>
      </c>
      <c r="Z11" s="10">
        <f t="shared" si="7"/>
        <v>0</v>
      </c>
    </row>
    <row r="12" spans="1:26" x14ac:dyDescent="0.3">
      <c r="A12" t="s">
        <v>18</v>
      </c>
      <c r="B12" s="7">
        <v>6.3</v>
      </c>
      <c r="C12" s="1">
        <v>0.28499999999999998</v>
      </c>
      <c r="D12" s="7">
        <v>41.8</v>
      </c>
      <c r="E12" s="1">
        <v>-0.17</v>
      </c>
      <c r="F12" s="1">
        <v>-8.7999999999999995E-2</v>
      </c>
      <c r="G12" s="7">
        <v>180.8</v>
      </c>
      <c r="H12" s="1">
        <v>-0.122</v>
      </c>
      <c r="I12" s="1">
        <v>-2.1999999999999999E-2</v>
      </c>
      <c r="J12" t="s">
        <v>18</v>
      </c>
      <c r="K12">
        <v>6.3</v>
      </c>
      <c r="L12" s="1">
        <v>0.28499999999999998</v>
      </c>
      <c r="M12">
        <v>41.8</v>
      </c>
      <c r="N12" s="1">
        <v>-0.17</v>
      </c>
      <c r="O12" s="1">
        <v>-8.7999999999999995E-2</v>
      </c>
      <c r="P12">
        <v>180.8</v>
      </c>
      <c r="Q12" s="1">
        <v>-0.122</v>
      </c>
      <c r="R12" s="1">
        <v>-2.1999999999999999E-2</v>
      </c>
      <c r="S12" s="10">
        <f t="shared" si="0"/>
        <v>0</v>
      </c>
      <c r="T12" s="10">
        <f t="shared" si="1"/>
        <v>0</v>
      </c>
      <c r="U12" s="10">
        <f t="shared" si="2"/>
        <v>0</v>
      </c>
      <c r="V12" s="10">
        <f t="shared" si="3"/>
        <v>0</v>
      </c>
      <c r="W12" s="10">
        <f t="shared" si="4"/>
        <v>0</v>
      </c>
      <c r="X12" s="10">
        <f t="shared" si="5"/>
        <v>0</v>
      </c>
      <c r="Y12" s="10">
        <f t="shared" si="6"/>
        <v>0</v>
      </c>
      <c r="Z12" s="10">
        <f t="shared" si="7"/>
        <v>0</v>
      </c>
    </row>
    <row r="13" spans="1:26" x14ac:dyDescent="0.3">
      <c r="A13" t="s">
        <v>22</v>
      </c>
      <c r="B13" s="7">
        <v>0</v>
      </c>
      <c r="C13" s="1">
        <v>-0.91600000000000004</v>
      </c>
      <c r="D13" s="7">
        <v>0.2</v>
      </c>
      <c r="E13" s="1">
        <v>0.371</v>
      </c>
      <c r="F13" s="1">
        <v>-0.45200000000000001</v>
      </c>
      <c r="G13" s="7">
        <v>0.6</v>
      </c>
      <c r="H13" s="1">
        <v>0.186</v>
      </c>
      <c r="I13" s="1">
        <v>-0.22</v>
      </c>
      <c r="J13" t="s">
        <v>22</v>
      </c>
      <c r="K13">
        <v>0</v>
      </c>
      <c r="L13" s="1">
        <v>-0.91600000000000004</v>
      </c>
      <c r="M13">
        <v>0.2</v>
      </c>
      <c r="N13" s="1">
        <v>0.371</v>
      </c>
      <c r="O13" s="1">
        <v>-0.45200000000000001</v>
      </c>
      <c r="P13">
        <v>0.6</v>
      </c>
      <c r="Q13" s="1">
        <v>0.186</v>
      </c>
      <c r="R13" s="1">
        <v>-0.22</v>
      </c>
      <c r="S13" s="10">
        <f t="shared" si="0"/>
        <v>0</v>
      </c>
      <c r="T13" s="10">
        <f t="shared" si="1"/>
        <v>0</v>
      </c>
      <c r="U13" s="10">
        <f t="shared" si="2"/>
        <v>0</v>
      </c>
      <c r="V13" s="10">
        <f t="shared" si="3"/>
        <v>0</v>
      </c>
      <c r="W13" s="10">
        <f t="shared" si="4"/>
        <v>0</v>
      </c>
      <c r="X13" s="10">
        <f t="shared" si="5"/>
        <v>0</v>
      </c>
      <c r="Y13" s="10">
        <f t="shared" si="6"/>
        <v>0</v>
      </c>
      <c r="Z13" s="10">
        <f t="shared" si="7"/>
        <v>0</v>
      </c>
    </row>
    <row r="14" spans="1:26" x14ac:dyDescent="0.3">
      <c r="A14" t="s">
        <v>32</v>
      </c>
      <c r="B14" s="7">
        <v>15.1</v>
      </c>
      <c r="C14" s="1">
        <v>-0.14299999999999999</v>
      </c>
      <c r="D14" s="7">
        <v>137.9</v>
      </c>
      <c r="E14" s="1">
        <v>-0.17299999999999999</v>
      </c>
      <c r="F14" s="1">
        <v>-7.9000000000000001E-2</v>
      </c>
      <c r="G14" s="7">
        <v>675.9</v>
      </c>
      <c r="H14" s="1">
        <v>-0.19700000000000001</v>
      </c>
      <c r="I14" s="1">
        <v>-1.7000000000000001E-2</v>
      </c>
      <c r="J14" t="s">
        <v>32</v>
      </c>
      <c r="K14">
        <v>15.1</v>
      </c>
      <c r="L14" s="1">
        <v>-0.14299999999999999</v>
      </c>
      <c r="M14">
        <v>137.9</v>
      </c>
      <c r="N14" s="1">
        <v>-0.17299999999999999</v>
      </c>
      <c r="O14" s="1">
        <v>-7.9000000000000001E-2</v>
      </c>
      <c r="P14">
        <v>675.9</v>
      </c>
      <c r="Q14" s="1">
        <v>-0.19700000000000001</v>
      </c>
      <c r="R14" s="1">
        <v>-1.7000000000000001E-2</v>
      </c>
      <c r="S14" s="10">
        <f t="shared" si="0"/>
        <v>0</v>
      </c>
      <c r="T14" s="10">
        <f t="shared" si="1"/>
        <v>0</v>
      </c>
      <c r="U14" s="10">
        <f t="shared" si="2"/>
        <v>0</v>
      </c>
      <c r="V14" s="10">
        <f t="shared" si="3"/>
        <v>0</v>
      </c>
      <c r="W14" s="10">
        <f t="shared" si="4"/>
        <v>0</v>
      </c>
      <c r="X14" s="10">
        <f t="shared" si="5"/>
        <v>0</v>
      </c>
      <c r="Y14" s="10">
        <f t="shared" si="6"/>
        <v>0</v>
      </c>
      <c r="Z14" s="10">
        <f t="shared" si="7"/>
        <v>0</v>
      </c>
    </row>
    <row r="15" spans="1:26" x14ac:dyDescent="0.3">
      <c r="A15" t="s">
        <v>33</v>
      </c>
      <c r="B15" s="7">
        <v>15.1</v>
      </c>
      <c r="C15" s="1">
        <v>-0.14299999999999999</v>
      </c>
      <c r="D15" s="7">
        <v>137.69999999999999</v>
      </c>
      <c r="E15" s="1">
        <v>-0.17199999999999999</v>
      </c>
      <c r="F15" s="1">
        <v>-7.8E-2</v>
      </c>
      <c r="G15" s="7">
        <v>672.4</v>
      </c>
      <c r="H15" s="1">
        <v>-0.2</v>
      </c>
      <c r="I15" s="1">
        <v>-1.7000000000000001E-2</v>
      </c>
      <c r="J15" t="s">
        <v>33</v>
      </c>
      <c r="K15">
        <v>15.1</v>
      </c>
      <c r="L15" s="1">
        <v>-0.14299999999999999</v>
      </c>
      <c r="M15">
        <v>137.69999999999999</v>
      </c>
      <c r="N15" s="1">
        <v>-0.17199999999999999</v>
      </c>
      <c r="O15" s="1">
        <v>-7.8E-2</v>
      </c>
      <c r="P15">
        <v>672.4</v>
      </c>
      <c r="Q15" s="1">
        <v>-0.2</v>
      </c>
      <c r="R15" s="1">
        <v>-1.7000000000000001E-2</v>
      </c>
      <c r="S15" s="10">
        <f t="shared" si="0"/>
        <v>0</v>
      </c>
      <c r="T15" s="10">
        <f t="shared" si="1"/>
        <v>0</v>
      </c>
      <c r="U15" s="10">
        <f t="shared" si="2"/>
        <v>0</v>
      </c>
      <c r="V15" s="10">
        <f t="shared" si="3"/>
        <v>0</v>
      </c>
      <c r="W15" s="10">
        <f t="shared" si="4"/>
        <v>0</v>
      </c>
      <c r="X15" s="10">
        <f t="shared" si="5"/>
        <v>0</v>
      </c>
      <c r="Y15" s="10">
        <f t="shared" si="6"/>
        <v>0</v>
      </c>
      <c r="Z15" s="10">
        <f t="shared" si="7"/>
        <v>0</v>
      </c>
    </row>
    <row r="16" spans="1:26" x14ac:dyDescent="0.3">
      <c r="A16" t="s">
        <v>17</v>
      </c>
      <c r="B16" s="7">
        <v>6.5</v>
      </c>
      <c r="C16" s="1">
        <v>-0.107</v>
      </c>
      <c r="D16" s="7">
        <v>60.6</v>
      </c>
      <c r="E16" s="1">
        <v>-0.14599999999999999</v>
      </c>
      <c r="F16" s="1">
        <v>-4.3999999999999997E-2</v>
      </c>
      <c r="G16" s="7">
        <v>316.60000000000002</v>
      </c>
      <c r="H16" s="1">
        <v>-0.153</v>
      </c>
      <c r="I16" s="1">
        <v>-8.9999999999999993E-3</v>
      </c>
      <c r="J16" t="s">
        <v>17</v>
      </c>
      <c r="K16">
        <v>6.5</v>
      </c>
      <c r="L16" s="1">
        <v>-0.107</v>
      </c>
      <c r="M16">
        <v>60.6</v>
      </c>
      <c r="N16" s="1">
        <v>-0.14599999999999999</v>
      </c>
      <c r="O16" s="1">
        <v>-4.3999999999999997E-2</v>
      </c>
      <c r="P16">
        <v>316.60000000000002</v>
      </c>
      <c r="Q16" s="1">
        <v>-0.153</v>
      </c>
      <c r="R16" s="1">
        <v>-8.9999999999999993E-3</v>
      </c>
      <c r="S16" s="10">
        <f t="shared" si="0"/>
        <v>0</v>
      </c>
      <c r="T16" s="10">
        <f t="shared" si="1"/>
        <v>0</v>
      </c>
      <c r="U16" s="10">
        <f t="shared" si="2"/>
        <v>0</v>
      </c>
      <c r="V16" s="10">
        <f t="shared" si="3"/>
        <v>0</v>
      </c>
      <c r="W16" s="10">
        <f t="shared" si="4"/>
        <v>0</v>
      </c>
      <c r="X16" s="10">
        <f t="shared" si="5"/>
        <v>0</v>
      </c>
      <c r="Y16" s="10">
        <f t="shared" si="6"/>
        <v>0</v>
      </c>
      <c r="Z16" s="10">
        <f t="shared" si="7"/>
        <v>0</v>
      </c>
    </row>
    <row r="17" spans="1:26" x14ac:dyDescent="0.3">
      <c r="A17" t="s">
        <v>18</v>
      </c>
      <c r="B17" s="7">
        <v>8.6999999999999993</v>
      </c>
      <c r="C17" s="1">
        <v>-0.16700000000000001</v>
      </c>
      <c r="D17" s="7">
        <v>77</v>
      </c>
      <c r="E17" s="1">
        <v>-0.192</v>
      </c>
      <c r="F17" s="1">
        <v>-0.10299999999999999</v>
      </c>
      <c r="G17" s="7">
        <v>355.8</v>
      </c>
      <c r="H17" s="1">
        <v>-0.23699999999999999</v>
      </c>
      <c r="I17" s="1">
        <v>-2.4E-2</v>
      </c>
      <c r="J17" t="s">
        <v>18</v>
      </c>
      <c r="K17">
        <v>8.6999999999999993</v>
      </c>
      <c r="L17" s="1">
        <v>-0.16700000000000001</v>
      </c>
      <c r="M17">
        <v>77</v>
      </c>
      <c r="N17" s="1">
        <v>-0.192</v>
      </c>
      <c r="O17" s="1">
        <v>-0.10299999999999999</v>
      </c>
      <c r="P17">
        <v>355.8</v>
      </c>
      <c r="Q17" s="1">
        <v>-0.23699999999999999</v>
      </c>
      <c r="R17" s="1">
        <v>-2.4E-2</v>
      </c>
      <c r="S17" s="10">
        <f t="shared" si="0"/>
        <v>0</v>
      </c>
      <c r="T17" s="10">
        <f t="shared" si="1"/>
        <v>0</v>
      </c>
      <c r="U17" s="10">
        <f t="shared" si="2"/>
        <v>0</v>
      </c>
      <c r="V17" s="10">
        <f t="shared" si="3"/>
        <v>0</v>
      </c>
      <c r="W17" s="10">
        <f t="shared" si="4"/>
        <v>0</v>
      </c>
      <c r="X17" s="10">
        <f t="shared" si="5"/>
        <v>0</v>
      </c>
      <c r="Y17" s="10">
        <f t="shared" si="6"/>
        <v>0</v>
      </c>
      <c r="Z17" s="10">
        <f t="shared" si="7"/>
        <v>0</v>
      </c>
    </row>
    <row r="18" spans="1:26" x14ac:dyDescent="0.3">
      <c r="A18" t="s">
        <v>34</v>
      </c>
      <c r="B18" s="7">
        <v>0</v>
      </c>
      <c r="C18" s="1">
        <v>-1</v>
      </c>
      <c r="D18" s="7">
        <v>0.2</v>
      </c>
      <c r="E18" s="1">
        <v>-0.53300000000000003</v>
      </c>
      <c r="F18" s="1">
        <v>-0.44800000000000001</v>
      </c>
      <c r="G18" s="7">
        <v>3.5</v>
      </c>
      <c r="H18" s="1">
        <v>1.7350000000000001</v>
      </c>
      <c r="I18" s="1">
        <v>-4.2999999999999997E-2</v>
      </c>
      <c r="J18" t="s">
        <v>34</v>
      </c>
      <c r="K18">
        <v>0</v>
      </c>
      <c r="L18" s="1">
        <v>-1</v>
      </c>
      <c r="M18">
        <v>0.2</v>
      </c>
      <c r="N18" s="1">
        <v>-0.53300000000000003</v>
      </c>
      <c r="O18" s="1">
        <v>-0.44800000000000001</v>
      </c>
      <c r="P18">
        <v>3.5</v>
      </c>
      <c r="Q18" s="1">
        <v>1.7350000000000001</v>
      </c>
      <c r="R18" s="1">
        <v>-4.2999999999999997E-2</v>
      </c>
      <c r="S18" s="10">
        <f t="shared" si="0"/>
        <v>0</v>
      </c>
      <c r="T18" s="10">
        <f t="shared" si="1"/>
        <v>0</v>
      </c>
      <c r="U18" s="10">
        <f t="shared" si="2"/>
        <v>0</v>
      </c>
      <c r="V18" s="10">
        <f t="shared" si="3"/>
        <v>0</v>
      </c>
      <c r="W18" s="10">
        <f t="shared" si="4"/>
        <v>0</v>
      </c>
      <c r="X18" s="10">
        <f t="shared" si="5"/>
        <v>0</v>
      </c>
      <c r="Y18" s="10">
        <f t="shared" si="6"/>
        <v>0</v>
      </c>
      <c r="Z18" s="10">
        <f t="shared" si="7"/>
        <v>0</v>
      </c>
    </row>
    <row r="19" spans="1:26" x14ac:dyDescent="0.3">
      <c r="A19" s="3" t="s">
        <v>38</v>
      </c>
      <c r="B19" s="8">
        <v>36</v>
      </c>
      <c r="C19" s="4">
        <v>-0.106</v>
      </c>
      <c r="D19" s="8">
        <v>327.7</v>
      </c>
      <c r="E19" s="4">
        <v>-9.1999999999999998E-2</v>
      </c>
      <c r="F19" s="4">
        <v>-2.9000000000000001E-2</v>
      </c>
      <c r="G19" s="8">
        <v>1579.4</v>
      </c>
      <c r="H19" s="4">
        <v>-0.16800000000000001</v>
      </c>
      <c r="I19" s="4">
        <v>-6.0000000000000001E-3</v>
      </c>
      <c r="J19" t="s">
        <v>38</v>
      </c>
      <c r="K19">
        <v>36</v>
      </c>
      <c r="L19" s="1">
        <v>-0.106</v>
      </c>
      <c r="M19">
        <v>327.7</v>
      </c>
      <c r="N19" s="1">
        <v>-9.1999999999999998E-2</v>
      </c>
      <c r="O19" s="1">
        <v>-2.9000000000000001E-2</v>
      </c>
      <c r="P19">
        <v>1579.4</v>
      </c>
      <c r="Q19" s="1">
        <v>-0.16800000000000001</v>
      </c>
      <c r="R19" s="1">
        <v>-6.0000000000000001E-3</v>
      </c>
      <c r="S19" s="10">
        <f t="shared" si="0"/>
        <v>0</v>
      </c>
      <c r="T19" s="10">
        <f t="shared" si="1"/>
        <v>0</v>
      </c>
      <c r="U19" s="10">
        <f t="shared" si="2"/>
        <v>0</v>
      </c>
      <c r="V19" s="10">
        <f t="shared" si="3"/>
        <v>0</v>
      </c>
      <c r="W19" s="10">
        <f t="shared" si="4"/>
        <v>0</v>
      </c>
      <c r="X19" s="10">
        <f t="shared" si="5"/>
        <v>0</v>
      </c>
      <c r="Y19" s="10">
        <f t="shared" si="6"/>
        <v>0</v>
      </c>
      <c r="Z19" s="10">
        <f t="shared" si="7"/>
        <v>0</v>
      </c>
    </row>
    <row r="20" spans="1:26" x14ac:dyDescent="0.3">
      <c r="A20" t="s">
        <v>23</v>
      </c>
      <c r="B20" s="7">
        <v>9</v>
      </c>
      <c r="C20" s="1">
        <v>0.124</v>
      </c>
      <c r="D20" s="7">
        <v>76</v>
      </c>
      <c r="E20" s="1">
        <v>1.7000000000000001E-2</v>
      </c>
      <c r="F20" s="1">
        <v>6.2E-2</v>
      </c>
      <c r="G20" s="7">
        <v>325</v>
      </c>
      <c r="H20" s="1">
        <v>-0.16300000000000001</v>
      </c>
      <c r="I20" s="1">
        <v>1.4E-2</v>
      </c>
      <c r="J20" t="s">
        <v>23</v>
      </c>
      <c r="K20">
        <v>9</v>
      </c>
      <c r="L20" s="1">
        <v>0.124</v>
      </c>
      <c r="M20">
        <v>76</v>
      </c>
      <c r="N20" s="1">
        <v>1.7000000000000001E-2</v>
      </c>
      <c r="O20" s="1">
        <v>6.2E-2</v>
      </c>
      <c r="P20">
        <v>325</v>
      </c>
      <c r="Q20" s="1">
        <v>-0.16300000000000001</v>
      </c>
      <c r="R20" s="1">
        <v>1.4E-2</v>
      </c>
      <c r="S20" s="10">
        <f t="shared" si="0"/>
        <v>0</v>
      </c>
      <c r="T20" s="10">
        <f t="shared" si="1"/>
        <v>0</v>
      </c>
      <c r="U20" s="10">
        <f t="shared" si="2"/>
        <v>0</v>
      </c>
      <c r="V20" s="10">
        <f t="shared" si="3"/>
        <v>0</v>
      </c>
      <c r="W20" s="10">
        <f t="shared" si="4"/>
        <v>0</v>
      </c>
      <c r="X20" s="10">
        <f t="shared" si="5"/>
        <v>0</v>
      </c>
      <c r="Y20" s="10">
        <f t="shared" si="6"/>
        <v>0</v>
      </c>
      <c r="Z20" s="10">
        <f t="shared" si="7"/>
        <v>0</v>
      </c>
    </row>
    <row r="21" spans="1:26" x14ac:dyDescent="0.3">
      <c r="A21" t="s">
        <v>24</v>
      </c>
      <c r="B21" s="7">
        <v>8.9</v>
      </c>
      <c r="C21" s="1">
        <v>0.12</v>
      </c>
      <c r="D21" s="7">
        <v>75</v>
      </c>
      <c r="E21" s="1">
        <v>7.0000000000000001E-3</v>
      </c>
      <c r="F21" s="1">
        <v>6.0999999999999999E-2</v>
      </c>
      <c r="G21" s="7">
        <v>322.2</v>
      </c>
      <c r="H21" s="1">
        <v>-0.16700000000000001</v>
      </c>
      <c r="I21" s="1">
        <v>1.2999999999999999E-2</v>
      </c>
      <c r="J21" t="s">
        <v>24</v>
      </c>
      <c r="K21">
        <v>8.9</v>
      </c>
      <c r="L21" s="1">
        <v>0.12</v>
      </c>
      <c r="M21">
        <v>75</v>
      </c>
      <c r="N21" s="1">
        <v>7.0000000000000001E-3</v>
      </c>
      <c r="O21" s="1">
        <v>6.0999999999999999E-2</v>
      </c>
      <c r="P21">
        <v>322.2</v>
      </c>
      <c r="Q21" s="1">
        <v>-0.16700000000000001</v>
      </c>
      <c r="R21" s="1">
        <v>1.2999999999999999E-2</v>
      </c>
      <c r="S21" s="10">
        <f t="shared" si="0"/>
        <v>0</v>
      </c>
      <c r="T21" s="10">
        <f t="shared" si="1"/>
        <v>0</v>
      </c>
      <c r="U21" s="10">
        <f t="shared" si="2"/>
        <v>0</v>
      </c>
      <c r="V21" s="10">
        <f t="shared" si="3"/>
        <v>0</v>
      </c>
      <c r="W21" s="10">
        <f t="shared" si="4"/>
        <v>0</v>
      </c>
      <c r="X21" s="10">
        <f t="shared" si="5"/>
        <v>0</v>
      </c>
      <c r="Y21" s="10">
        <f t="shared" si="6"/>
        <v>0</v>
      </c>
      <c r="Z21" s="10">
        <f t="shared" si="7"/>
        <v>0</v>
      </c>
    </row>
    <row r="22" spans="1:26" x14ac:dyDescent="0.3">
      <c r="A22" t="s">
        <v>17</v>
      </c>
      <c r="B22" s="7">
        <v>2.8</v>
      </c>
      <c r="C22" s="1">
        <v>-3.6999999999999998E-2</v>
      </c>
      <c r="D22" s="7">
        <v>27.1</v>
      </c>
      <c r="E22" s="1">
        <v>-0.05</v>
      </c>
      <c r="F22" s="1">
        <v>6.0999999999999999E-2</v>
      </c>
      <c r="G22" s="7">
        <v>131.69999999999999</v>
      </c>
      <c r="H22" s="1">
        <v>-0.13700000000000001</v>
      </c>
      <c r="I22" s="1">
        <v>1.2E-2</v>
      </c>
      <c r="J22" t="s">
        <v>17</v>
      </c>
      <c r="K22">
        <v>2.8</v>
      </c>
      <c r="L22" s="1">
        <v>-3.6999999999999998E-2</v>
      </c>
      <c r="M22">
        <v>27.1</v>
      </c>
      <c r="N22" s="1">
        <v>-0.05</v>
      </c>
      <c r="O22" s="1">
        <v>6.0999999999999999E-2</v>
      </c>
      <c r="P22">
        <v>131.69999999999999</v>
      </c>
      <c r="Q22" s="1">
        <v>-0.13700000000000001</v>
      </c>
      <c r="R22" s="1">
        <v>1.2E-2</v>
      </c>
      <c r="S22" s="10">
        <f t="shared" si="0"/>
        <v>0</v>
      </c>
      <c r="T22" s="10">
        <f t="shared" si="1"/>
        <v>0</v>
      </c>
      <c r="U22" s="10">
        <f t="shared" si="2"/>
        <v>0</v>
      </c>
      <c r="V22" s="10">
        <f t="shared" si="3"/>
        <v>0</v>
      </c>
      <c r="W22" s="10">
        <f t="shared" si="4"/>
        <v>0</v>
      </c>
      <c r="X22" s="10">
        <f t="shared" si="5"/>
        <v>0</v>
      </c>
      <c r="Y22" s="10">
        <f t="shared" si="6"/>
        <v>0</v>
      </c>
      <c r="Z22" s="10">
        <f t="shared" si="7"/>
        <v>0</v>
      </c>
    </row>
    <row r="23" spans="1:26" x14ac:dyDescent="0.3">
      <c r="A23" t="s">
        <v>18</v>
      </c>
      <c r="B23" s="7">
        <v>6.1</v>
      </c>
      <c r="C23" s="1">
        <v>0.20899999999999999</v>
      </c>
      <c r="D23" s="7">
        <v>47.9</v>
      </c>
      <c r="E23" s="1">
        <v>4.2000000000000003E-2</v>
      </c>
      <c r="F23" s="1">
        <v>0.06</v>
      </c>
      <c r="G23" s="7">
        <v>190.4</v>
      </c>
      <c r="H23" s="1">
        <v>-0.186</v>
      </c>
      <c r="I23" s="1">
        <v>1.4999999999999999E-2</v>
      </c>
      <c r="J23" t="s">
        <v>18</v>
      </c>
      <c r="K23">
        <v>6.1</v>
      </c>
      <c r="L23" s="1">
        <v>0.20899999999999999</v>
      </c>
      <c r="M23">
        <v>47.9</v>
      </c>
      <c r="N23" s="1">
        <v>4.2000000000000003E-2</v>
      </c>
      <c r="O23" s="1">
        <v>0.06</v>
      </c>
      <c r="P23">
        <v>190.4</v>
      </c>
      <c r="Q23" s="1">
        <v>-0.186</v>
      </c>
      <c r="R23" s="1">
        <v>1.4999999999999999E-2</v>
      </c>
      <c r="S23" s="10">
        <f t="shared" si="0"/>
        <v>0</v>
      </c>
      <c r="T23" s="10">
        <f t="shared" si="1"/>
        <v>0</v>
      </c>
      <c r="U23" s="10">
        <f t="shared" si="2"/>
        <v>0</v>
      </c>
      <c r="V23" s="10">
        <f t="shared" si="3"/>
        <v>0</v>
      </c>
      <c r="W23" s="10">
        <f t="shared" si="4"/>
        <v>0</v>
      </c>
      <c r="X23" s="10">
        <f t="shared" si="5"/>
        <v>0</v>
      </c>
      <c r="Y23" s="10">
        <f t="shared" si="6"/>
        <v>0</v>
      </c>
      <c r="Z23" s="10">
        <f t="shared" si="7"/>
        <v>0</v>
      </c>
    </row>
    <row r="24" spans="1:26" x14ac:dyDescent="0.3">
      <c r="A24" t="s">
        <v>25</v>
      </c>
      <c r="B24" s="7">
        <v>0.1</v>
      </c>
      <c r="C24" s="1">
        <v>0.96499999999999997</v>
      </c>
      <c r="D24" s="7">
        <v>1</v>
      </c>
      <c r="E24" s="1">
        <v>2.984</v>
      </c>
      <c r="F24" s="1">
        <v>0.17299999999999999</v>
      </c>
      <c r="G24" s="7">
        <v>2.8</v>
      </c>
      <c r="H24" s="1">
        <v>0.68899999999999995</v>
      </c>
      <c r="I24" s="1">
        <v>5.7000000000000002E-2</v>
      </c>
      <c r="J24" t="s">
        <v>25</v>
      </c>
      <c r="K24">
        <v>0.1</v>
      </c>
      <c r="L24" s="1">
        <v>0.96499999999999997</v>
      </c>
      <c r="M24">
        <v>1</v>
      </c>
      <c r="N24" s="1">
        <v>2.984</v>
      </c>
      <c r="O24" s="1">
        <v>0.17299999999999999</v>
      </c>
      <c r="P24">
        <v>2.8</v>
      </c>
      <c r="Q24" s="1">
        <v>0.68899999999999995</v>
      </c>
      <c r="R24" s="1">
        <v>5.7000000000000002E-2</v>
      </c>
      <c r="S24" s="10">
        <f t="shared" si="0"/>
        <v>0</v>
      </c>
      <c r="T24" s="10">
        <f t="shared" si="1"/>
        <v>0</v>
      </c>
      <c r="U24" s="10">
        <f t="shared" si="2"/>
        <v>0</v>
      </c>
      <c r="V24" s="10">
        <f t="shared" si="3"/>
        <v>0</v>
      </c>
      <c r="W24" s="10">
        <f t="shared" si="4"/>
        <v>0</v>
      </c>
      <c r="X24" s="10">
        <f t="shared" si="5"/>
        <v>0</v>
      </c>
      <c r="Y24" s="10">
        <f t="shared" si="6"/>
        <v>0</v>
      </c>
      <c r="Z24" s="10">
        <f t="shared" si="7"/>
        <v>0</v>
      </c>
    </row>
    <row r="25" spans="1:26" x14ac:dyDescent="0.3">
      <c r="A25" t="s">
        <v>26</v>
      </c>
      <c r="B25" s="7">
        <v>10.1</v>
      </c>
      <c r="C25" s="1">
        <v>-0.158</v>
      </c>
      <c r="D25" s="7">
        <v>92.4</v>
      </c>
      <c r="E25" s="1">
        <v>-7.4999999999999997E-2</v>
      </c>
      <c r="F25" s="1">
        <v>-6.6000000000000003E-2</v>
      </c>
      <c r="G25" s="7">
        <v>399.1</v>
      </c>
      <c r="H25" s="1">
        <v>-0.19600000000000001</v>
      </c>
      <c r="I25" s="1">
        <v>-1.6E-2</v>
      </c>
      <c r="J25" t="s">
        <v>26</v>
      </c>
      <c r="K25">
        <v>10.1</v>
      </c>
      <c r="L25" s="1">
        <v>-0.158</v>
      </c>
      <c r="M25">
        <v>92.4</v>
      </c>
      <c r="N25" s="1">
        <v>-7.4999999999999997E-2</v>
      </c>
      <c r="O25" s="1">
        <v>-6.6000000000000003E-2</v>
      </c>
      <c r="P25">
        <v>399.1</v>
      </c>
      <c r="Q25" s="1">
        <v>-0.19600000000000001</v>
      </c>
      <c r="R25" s="1">
        <v>-1.6E-2</v>
      </c>
      <c r="S25" s="10">
        <f t="shared" si="0"/>
        <v>0</v>
      </c>
      <c r="T25" s="10">
        <f t="shared" si="1"/>
        <v>0</v>
      </c>
      <c r="U25" s="10">
        <f t="shared" si="2"/>
        <v>0</v>
      </c>
      <c r="V25" s="10">
        <f t="shared" si="3"/>
        <v>0</v>
      </c>
      <c r="W25" s="10">
        <f t="shared" si="4"/>
        <v>0</v>
      </c>
      <c r="X25" s="10">
        <f t="shared" si="5"/>
        <v>0</v>
      </c>
      <c r="Y25" s="10">
        <f t="shared" si="6"/>
        <v>0</v>
      </c>
      <c r="Z25" s="10">
        <f t="shared" si="7"/>
        <v>0</v>
      </c>
    </row>
    <row r="26" spans="1:26" x14ac:dyDescent="0.3">
      <c r="A26" t="s">
        <v>27</v>
      </c>
      <c r="B26" s="7">
        <v>10.1</v>
      </c>
      <c r="C26" s="1">
        <v>-0.14199999999999999</v>
      </c>
      <c r="D26" s="7">
        <v>91.6</v>
      </c>
      <c r="E26" s="1">
        <v>-7.5999999999999998E-2</v>
      </c>
      <c r="F26" s="1">
        <v>-6.6000000000000003E-2</v>
      </c>
      <c r="G26" s="7">
        <v>395.5</v>
      </c>
      <c r="H26" s="1">
        <v>-0.19800000000000001</v>
      </c>
      <c r="I26" s="1">
        <v>-1.6E-2</v>
      </c>
      <c r="J26" t="s">
        <v>27</v>
      </c>
      <c r="K26">
        <v>10.1</v>
      </c>
      <c r="L26" s="1">
        <v>-0.14199999999999999</v>
      </c>
      <c r="M26">
        <v>91.6</v>
      </c>
      <c r="N26" s="1">
        <v>-7.5999999999999998E-2</v>
      </c>
      <c r="O26" s="1">
        <v>-6.6000000000000003E-2</v>
      </c>
      <c r="P26">
        <v>395.5</v>
      </c>
      <c r="Q26" s="1">
        <v>-0.19800000000000001</v>
      </c>
      <c r="R26" s="1">
        <v>-1.6E-2</v>
      </c>
      <c r="S26" s="10">
        <f t="shared" si="0"/>
        <v>0</v>
      </c>
      <c r="T26" s="10">
        <f t="shared" si="1"/>
        <v>0</v>
      </c>
      <c r="U26" s="10">
        <f t="shared" si="2"/>
        <v>0</v>
      </c>
      <c r="V26" s="10">
        <f t="shared" si="3"/>
        <v>0</v>
      </c>
      <c r="W26" s="10">
        <f t="shared" si="4"/>
        <v>0</v>
      </c>
      <c r="X26" s="10">
        <f t="shared" si="5"/>
        <v>0</v>
      </c>
      <c r="Y26" s="10">
        <f t="shared" si="6"/>
        <v>0</v>
      </c>
      <c r="Z26" s="10">
        <f t="shared" si="7"/>
        <v>0</v>
      </c>
    </row>
    <row r="27" spans="1:26" x14ac:dyDescent="0.3">
      <c r="A27" t="s">
        <v>17</v>
      </c>
      <c r="B27" s="7">
        <v>3.6</v>
      </c>
      <c r="C27" s="1">
        <v>-3.9E-2</v>
      </c>
      <c r="D27" s="7">
        <v>32.799999999999997</v>
      </c>
      <c r="E27" s="1">
        <v>-0.1</v>
      </c>
      <c r="F27" s="1">
        <v>-0.02</v>
      </c>
      <c r="G27" s="7">
        <v>162.6</v>
      </c>
      <c r="H27" s="1">
        <v>-0.14599999999999999</v>
      </c>
      <c r="I27" s="1">
        <v>-4.0000000000000001E-3</v>
      </c>
      <c r="J27" t="s">
        <v>17</v>
      </c>
      <c r="K27">
        <v>3.6</v>
      </c>
      <c r="L27" s="1">
        <v>-3.9E-2</v>
      </c>
      <c r="M27">
        <v>32.799999999999997</v>
      </c>
      <c r="N27" s="1">
        <v>-0.1</v>
      </c>
      <c r="O27" s="1">
        <v>-0.02</v>
      </c>
      <c r="P27">
        <v>162.6</v>
      </c>
      <c r="Q27" s="1">
        <v>-0.14599999999999999</v>
      </c>
      <c r="R27" s="1">
        <v>-4.0000000000000001E-3</v>
      </c>
      <c r="S27" s="10">
        <f t="shared" si="0"/>
        <v>0</v>
      </c>
      <c r="T27" s="10">
        <f t="shared" si="1"/>
        <v>0</v>
      </c>
      <c r="U27" s="10">
        <f t="shared" si="2"/>
        <v>0</v>
      </c>
      <c r="V27" s="10">
        <f t="shared" si="3"/>
        <v>0</v>
      </c>
      <c r="W27" s="10">
        <f t="shared" si="4"/>
        <v>0</v>
      </c>
      <c r="X27" s="10">
        <f t="shared" si="5"/>
        <v>0</v>
      </c>
      <c r="Y27" s="10">
        <f t="shared" si="6"/>
        <v>0</v>
      </c>
      <c r="Z27" s="10">
        <f t="shared" si="7"/>
        <v>0</v>
      </c>
    </row>
    <row r="28" spans="1:26" x14ac:dyDescent="0.3">
      <c r="A28" t="s">
        <v>18</v>
      </c>
      <c r="B28" s="7">
        <v>6.5</v>
      </c>
      <c r="C28" s="1">
        <v>-0.189</v>
      </c>
      <c r="D28" s="7">
        <v>58.8</v>
      </c>
      <c r="E28" s="1">
        <v>-6.0999999999999999E-2</v>
      </c>
      <c r="F28" s="1">
        <v>-9.0999999999999998E-2</v>
      </c>
      <c r="G28" s="7">
        <v>232.9</v>
      </c>
      <c r="H28" s="1">
        <v>-0.23200000000000001</v>
      </c>
      <c r="I28" s="1">
        <v>-2.5000000000000001E-2</v>
      </c>
      <c r="J28" t="s">
        <v>18</v>
      </c>
      <c r="K28">
        <v>6.5</v>
      </c>
      <c r="L28" s="1">
        <v>-0.189</v>
      </c>
      <c r="M28">
        <v>58.8</v>
      </c>
      <c r="N28" s="1">
        <v>-6.0999999999999999E-2</v>
      </c>
      <c r="O28" s="1">
        <v>-9.0999999999999998E-2</v>
      </c>
      <c r="P28">
        <v>232.9</v>
      </c>
      <c r="Q28" s="1">
        <v>-0.23200000000000001</v>
      </c>
      <c r="R28" s="1">
        <v>-2.5000000000000001E-2</v>
      </c>
      <c r="S28" s="10">
        <f t="shared" si="0"/>
        <v>0</v>
      </c>
      <c r="T28" s="10">
        <f t="shared" si="1"/>
        <v>0</v>
      </c>
      <c r="U28" s="10">
        <f t="shared" si="2"/>
        <v>0</v>
      </c>
      <c r="V28" s="10">
        <f t="shared" si="3"/>
        <v>0</v>
      </c>
      <c r="W28" s="10">
        <f t="shared" si="4"/>
        <v>0</v>
      </c>
      <c r="X28" s="10">
        <f t="shared" si="5"/>
        <v>0</v>
      </c>
      <c r="Y28" s="10">
        <f t="shared" si="6"/>
        <v>0</v>
      </c>
      <c r="Z28" s="10">
        <f t="shared" si="7"/>
        <v>0</v>
      </c>
    </row>
    <row r="29" spans="1:26" x14ac:dyDescent="0.3">
      <c r="A29" t="s">
        <v>28</v>
      </c>
      <c r="B29" s="7">
        <v>0</v>
      </c>
      <c r="C29" s="1">
        <v>-0.93300000000000005</v>
      </c>
      <c r="D29" s="7">
        <v>0.8</v>
      </c>
      <c r="E29" s="1">
        <v>-3.4000000000000002E-2</v>
      </c>
      <c r="F29" s="1">
        <v>-5.8000000000000003E-2</v>
      </c>
      <c r="G29" s="7">
        <v>3.6</v>
      </c>
      <c r="H29" s="1">
        <v>0.13100000000000001</v>
      </c>
      <c r="I29" s="1">
        <v>-1.2999999999999999E-2</v>
      </c>
      <c r="J29" t="s">
        <v>28</v>
      </c>
      <c r="K29">
        <v>0</v>
      </c>
      <c r="L29" s="1">
        <v>-0.93300000000000005</v>
      </c>
      <c r="M29">
        <v>0.8</v>
      </c>
      <c r="N29" s="1">
        <v>-3.4000000000000002E-2</v>
      </c>
      <c r="O29" s="1">
        <v>-5.8000000000000003E-2</v>
      </c>
      <c r="P29">
        <v>3.6</v>
      </c>
      <c r="Q29" s="1">
        <v>0.13100000000000001</v>
      </c>
      <c r="R29" s="1">
        <v>-1.2999999999999999E-2</v>
      </c>
      <c r="S29" s="10">
        <f t="shared" si="0"/>
        <v>0</v>
      </c>
      <c r="T29" s="10">
        <f t="shared" si="1"/>
        <v>0</v>
      </c>
      <c r="U29" s="10">
        <f t="shared" si="2"/>
        <v>0</v>
      </c>
      <c r="V29" s="10">
        <f t="shared" si="3"/>
        <v>0</v>
      </c>
      <c r="W29" s="10">
        <f t="shared" si="4"/>
        <v>0</v>
      </c>
      <c r="X29" s="10">
        <f t="shared" si="5"/>
        <v>0</v>
      </c>
      <c r="Y29" s="10">
        <f t="shared" si="6"/>
        <v>0</v>
      </c>
      <c r="Z29" s="10">
        <f t="shared" si="7"/>
        <v>0</v>
      </c>
    </row>
    <row r="30" spans="1:26" x14ac:dyDescent="0.3">
      <c r="A30" t="s">
        <v>29</v>
      </c>
      <c r="B30" s="7">
        <v>16.899999999999999</v>
      </c>
      <c r="C30" s="1">
        <v>-0.16600000000000001</v>
      </c>
      <c r="D30" s="7">
        <v>159.30000000000001</v>
      </c>
      <c r="E30" s="1">
        <v>-0.14499999999999999</v>
      </c>
      <c r="F30" s="1">
        <v>-4.5999999999999999E-2</v>
      </c>
      <c r="G30" s="7">
        <v>855.4</v>
      </c>
      <c r="H30" s="1">
        <v>-0.155</v>
      </c>
      <c r="I30" s="1">
        <v>-8.9999999999999993E-3</v>
      </c>
      <c r="J30" t="s">
        <v>29</v>
      </c>
      <c r="K30">
        <v>16.899999999999999</v>
      </c>
      <c r="L30" s="1">
        <v>-0.16600000000000001</v>
      </c>
      <c r="M30">
        <v>159.30000000000001</v>
      </c>
      <c r="N30" s="1">
        <v>-0.14499999999999999</v>
      </c>
      <c r="O30" s="1">
        <v>-4.5999999999999999E-2</v>
      </c>
      <c r="P30">
        <v>855.4</v>
      </c>
      <c r="Q30" s="1">
        <v>-0.155</v>
      </c>
      <c r="R30" s="1">
        <v>-8.9999999999999993E-3</v>
      </c>
      <c r="S30" s="10">
        <f t="shared" si="0"/>
        <v>0</v>
      </c>
      <c r="T30" s="10">
        <f t="shared" si="1"/>
        <v>0</v>
      </c>
      <c r="U30" s="10">
        <f t="shared" si="2"/>
        <v>0</v>
      </c>
      <c r="V30" s="10">
        <f t="shared" si="3"/>
        <v>0</v>
      </c>
      <c r="W30" s="10">
        <f t="shared" si="4"/>
        <v>0</v>
      </c>
      <c r="X30" s="10">
        <f t="shared" si="5"/>
        <v>0</v>
      </c>
      <c r="Y30" s="10">
        <f t="shared" si="6"/>
        <v>0</v>
      </c>
      <c r="Z30" s="10">
        <f t="shared" si="7"/>
        <v>0</v>
      </c>
    </row>
    <row r="31" spans="1:26" x14ac:dyDescent="0.3">
      <c r="A31" t="s">
        <v>30</v>
      </c>
      <c r="B31" s="7">
        <v>16.899999999999999</v>
      </c>
      <c r="C31" s="1">
        <v>-0.16600000000000001</v>
      </c>
      <c r="D31" s="7">
        <v>158.80000000000001</v>
      </c>
      <c r="E31" s="1">
        <v>-0.14599999999999999</v>
      </c>
      <c r="F31" s="1">
        <v>-4.7E-2</v>
      </c>
      <c r="G31" s="7">
        <v>853.4</v>
      </c>
      <c r="H31" s="1">
        <v>-0.156</v>
      </c>
      <c r="I31" s="1">
        <v>-8.9999999999999993E-3</v>
      </c>
      <c r="J31" t="s">
        <v>30</v>
      </c>
      <c r="K31">
        <v>16.899999999999999</v>
      </c>
      <c r="L31" s="1">
        <v>-0.16600000000000001</v>
      </c>
      <c r="M31">
        <v>158.80000000000001</v>
      </c>
      <c r="N31" s="1">
        <v>-0.14599999999999999</v>
      </c>
      <c r="O31" s="1">
        <v>-4.7E-2</v>
      </c>
      <c r="P31">
        <v>853.4</v>
      </c>
      <c r="Q31" s="1">
        <v>-0.156</v>
      </c>
      <c r="R31" s="1">
        <v>-8.9999999999999993E-3</v>
      </c>
      <c r="S31" s="10">
        <f t="shared" si="0"/>
        <v>0</v>
      </c>
      <c r="T31" s="10">
        <f t="shared" si="1"/>
        <v>0</v>
      </c>
      <c r="U31" s="10">
        <f t="shared" si="2"/>
        <v>0</v>
      </c>
      <c r="V31" s="10">
        <f t="shared" si="3"/>
        <v>0</v>
      </c>
      <c r="W31" s="10">
        <f t="shared" si="4"/>
        <v>0</v>
      </c>
      <c r="X31" s="10">
        <f t="shared" si="5"/>
        <v>0</v>
      </c>
      <c r="Y31" s="10">
        <f t="shared" si="6"/>
        <v>0</v>
      </c>
      <c r="Z31" s="10">
        <f t="shared" si="7"/>
        <v>0</v>
      </c>
    </row>
    <row r="32" spans="1:26" x14ac:dyDescent="0.3">
      <c r="A32" t="s">
        <v>17</v>
      </c>
      <c r="B32" s="7">
        <v>7.5</v>
      </c>
      <c r="C32" s="1">
        <v>-9.7000000000000003E-2</v>
      </c>
      <c r="D32" s="7">
        <v>70.7</v>
      </c>
      <c r="E32" s="1">
        <v>-0.106</v>
      </c>
      <c r="F32" s="1">
        <v>1.2E-2</v>
      </c>
      <c r="G32" s="7">
        <v>386.9</v>
      </c>
      <c r="H32" s="1">
        <v>-0.13600000000000001</v>
      </c>
      <c r="I32" s="1">
        <v>2E-3</v>
      </c>
      <c r="J32" t="s">
        <v>17</v>
      </c>
      <c r="K32">
        <v>7.5</v>
      </c>
      <c r="L32" s="1">
        <v>-9.7000000000000003E-2</v>
      </c>
      <c r="M32">
        <v>70.7</v>
      </c>
      <c r="N32" s="1">
        <v>-0.106</v>
      </c>
      <c r="O32" s="1">
        <v>1.2E-2</v>
      </c>
      <c r="P32">
        <v>386.9</v>
      </c>
      <c r="Q32" s="1">
        <v>-0.13600000000000001</v>
      </c>
      <c r="R32" s="1">
        <v>2E-3</v>
      </c>
      <c r="S32" s="10">
        <f t="shared" si="0"/>
        <v>0</v>
      </c>
      <c r="T32" s="10">
        <f t="shared" si="1"/>
        <v>0</v>
      </c>
      <c r="U32" s="10">
        <f t="shared" si="2"/>
        <v>0</v>
      </c>
      <c r="V32" s="10">
        <f t="shared" si="3"/>
        <v>0</v>
      </c>
      <c r="W32" s="10">
        <f t="shared" si="4"/>
        <v>0</v>
      </c>
      <c r="X32" s="10">
        <f t="shared" si="5"/>
        <v>0</v>
      </c>
      <c r="Y32" s="10">
        <f t="shared" si="6"/>
        <v>0</v>
      </c>
      <c r="Z32" s="10">
        <f t="shared" si="7"/>
        <v>0</v>
      </c>
    </row>
    <row r="33" spans="1:26" x14ac:dyDescent="0.3">
      <c r="A33" t="s">
        <v>18</v>
      </c>
      <c r="B33" s="7">
        <v>9.4</v>
      </c>
      <c r="C33" s="1">
        <v>-0.214</v>
      </c>
      <c r="D33" s="7">
        <v>88.1</v>
      </c>
      <c r="E33" s="1">
        <v>-0.17599999999999999</v>
      </c>
      <c r="F33" s="1">
        <v>-0.09</v>
      </c>
      <c r="G33" s="7">
        <v>466.5</v>
      </c>
      <c r="H33" s="1">
        <v>-0.17199999999999999</v>
      </c>
      <c r="I33" s="1">
        <v>-1.7999999999999999E-2</v>
      </c>
      <c r="J33" t="s">
        <v>18</v>
      </c>
      <c r="K33">
        <v>9.4</v>
      </c>
      <c r="L33" s="1">
        <v>-0.214</v>
      </c>
      <c r="M33">
        <v>88.1</v>
      </c>
      <c r="N33" s="1">
        <v>-0.17599999999999999</v>
      </c>
      <c r="O33" s="1">
        <v>-0.09</v>
      </c>
      <c r="P33">
        <v>466.5</v>
      </c>
      <c r="Q33" s="1">
        <v>-0.17199999999999999</v>
      </c>
      <c r="R33" s="1">
        <v>-1.7999999999999999E-2</v>
      </c>
      <c r="S33" s="10">
        <f t="shared" si="0"/>
        <v>0</v>
      </c>
      <c r="T33" s="10">
        <f t="shared" si="1"/>
        <v>0</v>
      </c>
      <c r="U33" s="10">
        <f t="shared" si="2"/>
        <v>0</v>
      </c>
      <c r="V33" s="10">
        <f t="shared" si="3"/>
        <v>0</v>
      </c>
      <c r="W33" s="10">
        <f t="shared" si="4"/>
        <v>0</v>
      </c>
      <c r="X33" s="10">
        <f t="shared" si="5"/>
        <v>0</v>
      </c>
      <c r="Y33" s="10">
        <f t="shared" si="6"/>
        <v>0</v>
      </c>
      <c r="Z33" s="10">
        <f t="shared" si="7"/>
        <v>0</v>
      </c>
    </row>
    <row r="34" spans="1:26" x14ac:dyDescent="0.3">
      <c r="A34" t="s">
        <v>31</v>
      </c>
      <c r="B34" s="7">
        <v>0</v>
      </c>
      <c r="C34" s="1">
        <v>-0.106</v>
      </c>
      <c r="D34" s="7">
        <v>0.4</v>
      </c>
      <c r="E34" s="1">
        <v>2.734</v>
      </c>
      <c r="F34" s="1">
        <v>0.36499999999999999</v>
      </c>
      <c r="G34" s="7">
        <v>2</v>
      </c>
      <c r="H34" s="1">
        <v>0.45700000000000002</v>
      </c>
      <c r="I34" s="1">
        <v>6.4000000000000001E-2</v>
      </c>
      <c r="J34" t="s">
        <v>31</v>
      </c>
      <c r="K34">
        <v>0</v>
      </c>
      <c r="L34" s="1">
        <v>-0.106</v>
      </c>
      <c r="M34">
        <v>0.4</v>
      </c>
      <c r="N34" s="1">
        <v>2.734</v>
      </c>
      <c r="O34" s="1">
        <v>0.36499999999999999</v>
      </c>
      <c r="P34">
        <v>2</v>
      </c>
      <c r="Q34" s="1">
        <v>0.45700000000000002</v>
      </c>
      <c r="R34" s="1">
        <v>6.4000000000000001E-2</v>
      </c>
      <c r="S34" s="10">
        <f t="shared" si="0"/>
        <v>0</v>
      </c>
      <c r="T34" s="10">
        <f t="shared" si="1"/>
        <v>0</v>
      </c>
      <c r="U34" s="10">
        <f t="shared" si="2"/>
        <v>0</v>
      </c>
      <c r="V34" s="10">
        <f t="shared" si="3"/>
        <v>0</v>
      </c>
      <c r="W34" s="10">
        <f t="shared" si="4"/>
        <v>0</v>
      </c>
      <c r="X34" s="10">
        <f t="shared" si="5"/>
        <v>0</v>
      </c>
      <c r="Y34" s="10">
        <f t="shared" si="6"/>
        <v>0</v>
      </c>
      <c r="Z34" s="10">
        <f t="shared" si="7"/>
        <v>0</v>
      </c>
    </row>
    <row r="35" spans="1:26" x14ac:dyDescent="0.3">
      <c r="A35" t="s">
        <v>35</v>
      </c>
      <c r="B35" s="7">
        <v>0</v>
      </c>
      <c r="C35" s="1">
        <v>-1</v>
      </c>
      <c r="D35" s="7">
        <v>0</v>
      </c>
      <c r="E35" s="1">
        <v>-1</v>
      </c>
      <c r="F35" t="e">
        <v>#VALUE!</v>
      </c>
      <c r="G35" s="7">
        <v>0</v>
      </c>
      <c r="H35" s="1">
        <v>-1</v>
      </c>
      <c r="I35" t="e">
        <v>#VALUE!</v>
      </c>
      <c r="J35" t="s">
        <v>35</v>
      </c>
      <c r="K35">
        <v>0</v>
      </c>
      <c r="L35" s="1">
        <v>-1</v>
      </c>
      <c r="M35">
        <v>0</v>
      </c>
      <c r="N35" s="1">
        <v>-1</v>
      </c>
      <c r="O35" t="s">
        <v>36</v>
      </c>
      <c r="P35">
        <v>0</v>
      </c>
      <c r="Q35" s="1">
        <v>-1</v>
      </c>
      <c r="R35" t="s">
        <v>36</v>
      </c>
      <c r="S35" s="10">
        <f t="shared" si="0"/>
        <v>0</v>
      </c>
      <c r="T35" s="10">
        <f t="shared" si="1"/>
        <v>0</v>
      </c>
      <c r="U35" s="10">
        <f t="shared" si="2"/>
        <v>0</v>
      </c>
      <c r="V35" s="10">
        <f t="shared" si="3"/>
        <v>0</v>
      </c>
      <c r="W35" s="10" t="e">
        <f t="shared" si="4"/>
        <v>#VALUE!</v>
      </c>
      <c r="X35" s="10">
        <f t="shared" si="5"/>
        <v>0</v>
      </c>
      <c r="Y35" s="10">
        <f t="shared" si="6"/>
        <v>0</v>
      </c>
      <c r="Z35" s="10" t="e">
        <f t="shared" si="7"/>
        <v>#VALUE!</v>
      </c>
    </row>
    <row r="40" spans="1:26" x14ac:dyDescent="0.3">
      <c r="A40" t="s">
        <v>0</v>
      </c>
      <c r="B40" s="6" t="s">
        <v>2</v>
      </c>
      <c r="C40" s="11" t="s">
        <v>4</v>
      </c>
      <c r="D40" s="6" t="s">
        <v>6</v>
      </c>
      <c r="E40" s="11" t="s">
        <v>4</v>
      </c>
      <c r="F40" s="2" t="s">
        <v>11</v>
      </c>
      <c r="G40" s="11" t="s">
        <v>4</v>
      </c>
      <c r="H40" t="s">
        <v>0</v>
      </c>
      <c r="I40" t="s">
        <v>2</v>
      </c>
      <c r="J40" t="s">
        <v>4</v>
      </c>
      <c r="K40" t="s">
        <v>6</v>
      </c>
      <c r="L40" t="s">
        <v>4</v>
      </c>
      <c r="M40" t="s">
        <v>11</v>
      </c>
      <c r="N40" t="s">
        <v>4</v>
      </c>
      <c r="O40" s="15" t="s">
        <v>2</v>
      </c>
      <c r="P40" s="16" t="s">
        <v>4</v>
      </c>
      <c r="Q40" s="15" t="s">
        <v>6</v>
      </c>
      <c r="R40" s="16" t="s">
        <v>4</v>
      </c>
      <c r="S40" s="17" t="s">
        <v>11</v>
      </c>
      <c r="T40" s="16" t="s">
        <v>4</v>
      </c>
    </row>
    <row r="41" spans="1:26" x14ac:dyDescent="0.3">
      <c r="A41" t="s">
        <v>14</v>
      </c>
      <c r="B41" s="19">
        <v>336.48404499999998</v>
      </c>
      <c r="C41" s="12">
        <v>-0.107</v>
      </c>
      <c r="D41" s="7">
        <v>3062.7</v>
      </c>
      <c r="E41" s="12">
        <v>-0.121</v>
      </c>
      <c r="F41">
        <v>15307.3</v>
      </c>
      <c r="G41" s="14">
        <v>-0.153</v>
      </c>
      <c r="H41" t="s">
        <v>39</v>
      </c>
      <c r="I41">
        <v>336.48404499999998</v>
      </c>
      <c r="J41" s="1">
        <v>-0.107</v>
      </c>
      <c r="K41">
        <v>3062.7</v>
      </c>
      <c r="L41" s="1">
        <v>-0.121</v>
      </c>
      <c r="M41">
        <v>15307.3</v>
      </c>
      <c r="N41" s="1">
        <v>-0.153</v>
      </c>
      <c r="O41" s="18">
        <f>B41-I41</f>
        <v>0</v>
      </c>
      <c r="P41" s="18">
        <f t="shared" ref="P41:T41" si="8">C41-J41</f>
        <v>0</v>
      </c>
      <c r="Q41" s="18">
        <f t="shared" si="8"/>
        <v>0</v>
      </c>
      <c r="R41" s="18">
        <f t="shared" si="8"/>
        <v>0</v>
      </c>
      <c r="S41" s="18">
        <f t="shared" si="8"/>
        <v>0</v>
      </c>
      <c r="T41" s="18">
        <f t="shared" si="8"/>
        <v>0</v>
      </c>
    </row>
    <row r="42" spans="1:26" x14ac:dyDescent="0.3">
      <c r="A42" s="3" t="s">
        <v>37</v>
      </c>
      <c r="B42" s="20">
        <v>165.22057799999993</v>
      </c>
      <c r="C42" s="13">
        <v>-0.14699999999999999</v>
      </c>
      <c r="D42" s="8">
        <v>1515</v>
      </c>
      <c r="E42" s="13">
        <v>-0.16600000000000001</v>
      </c>
      <c r="F42" s="3">
        <v>7691.9</v>
      </c>
      <c r="G42" s="21">
        <v>-0.17199999999999999</v>
      </c>
      <c r="H42" t="s">
        <v>37</v>
      </c>
      <c r="I42">
        <v>165.22057799999999</v>
      </c>
      <c r="J42" s="1">
        <v>-0.14699999999999999</v>
      </c>
      <c r="K42">
        <v>1515</v>
      </c>
      <c r="L42" s="1">
        <v>-0.16600000000000001</v>
      </c>
      <c r="M42">
        <v>7691.9</v>
      </c>
      <c r="N42" s="1">
        <v>-0.17199999999999999</v>
      </c>
      <c r="O42" s="18">
        <f t="shared" ref="O42:O74" si="9">B42-I42</f>
        <v>0</v>
      </c>
      <c r="P42" s="18">
        <f t="shared" ref="P42:P74" si="10">C42-J42</f>
        <v>0</v>
      </c>
      <c r="Q42" s="18">
        <f t="shared" ref="Q42:Q74" si="11">D42-K42</f>
        <v>0</v>
      </c>
      <c r="R42" s="18">
        <f t="shared" ref="R42:R74" si="12">E42-L42</f>
        <v>0</v>
      </c>
      <c r="S42" s="18">
        <f t="shared" ref="S42:S74" si="13">F42-M42</f>
        <v>0</v>
      </c>
      <c r="T42" s="18">
        <f t="shared" ref="T42:T74" si="14">G42-N42</f>
        <v>0</v>
      </c>
    </row>
    <row r="43" spans="1:26" x14ac:dyDescent="0.3">
      <c r="A43" t="s">
        <v>15</v>
      </c>
      <c r="B43" s="19">
        <v>58.896495000000002</v>
      </c>
      <c r="C43" s="12">
        <v>-0.25800000000000001</v>
      </c>
      <c r="D43" s="7">
        <v>598.79999999999995</v>
      </c>
      <c r="E43" s="12">
        <v>-0.16300000000000001</v>
      </c>
      <c r="F43">
        <v>3256.3</v>
      </c>
      <c r="G43" s="14">
        <v>-0.16800000000000001</v>
      </c>
      <c r="H43" t="s">
        <v>15</v>
      </c>
      <c r="I43">
        <v>58.896494999999902</v>
      </c>
      <c r="J43" s="1">
        <v>-0.25800000000000001</v>
      </c>
      <c r="K43">
        <v>598.79999999999995</v>
      </c>
      <c r="L43" s="1">
        <v>-0.16300000000000001</v>
      </c>
      <c r="M43">
        <v>3256.3</v>
      </c>
      <c r="N43" s="1">
        <v>-0.16800000000000001</v>
      </c>
      <c r="O43" s="18">
        <f t="shared" si="9"/>
        <v>9.9475983006414026E-14</v>
      </c>
      <c r="P43" s="18">
        <f t="shared" si="10"/>
        <v>0</v>
      </c>
      <c r="Q43" s="18">
        <f t="shared" si="11"/>
        <v>0</v>
      </c>
      <c r="R43" s="18">
        <f t="shared" si="12"/>
        <v>0</v>
      </c>
      <c r="S43" s="18">
        <f t="shared" si="13"/>
        <v>0</v>
      </c>
      <c r="T43" s="18">
        <f t="shared" si="14"/>
        <v>0</v>
      </c>
    </row>
    <row r="44" spans="1:26" x14ac:dyDescent="0.3">
      <c r="A44" t="s">
        <v>16</v>
      </c>
      <c r="B44" s="19">
        <v>58.681494999999998</v>
      </c>
      <c r="C44" s="12">
        <v>-0.25800000000000001</v>
      </c>
      <c r="D44" s="7">
        <v>597.4</v>
      </c>
      <c r="E44" s="12">
        <v>-0.16400000000000001</v>
      </c>
      <c r="F44">
        <v>3247.6</v>
      </c>
      <c r="G44" s="14">
        <v>-0.16900000000000001</v>
      </c>
      <c r="H44" t="s">
        <v>16</v>
      </c>
      <c r="I44">
        <v>58.681494999999998</v>
      </c>
      <c r="J44" s="1">
        <v>-0.25800000000000001</v>
      </c>
      <c r="K44">
        <v>597.4</v>
      </c>
      <c r="L44" s="1">
        <v>-0.16400000000000001</v>
      </c>
      <c r="M44">
        <v>3247.6</v>
      </c>
      <c r="N44" s="1">
        <v>-0.16900000000000001</v>
      </c>
      <c r="O44" s="18">
        <f t="shared" si="9"/>
        <v>0</v>
      </c>
      <c r="P44" s="18">
        <f t="shared" si="10"/>
        <v>0</v>
      </c>
      <c r="Q44" s="18">
        <f t="shared" si="11"/>
        <v>0</v>
      </c>
      <c r="R44" s="18">
        <f t="shared" si="12"/>
        <v>0</v>
      </c>
      <c r="S44" s="18">
        <f t="shared" si="13"/>
        <v>0</v>
      </c>
      <c r="T44" s="18">
        <f t="shared" si="14"/>
        <v>0</v>
      </c>
    </row>
    <row r="45" spans="1:26" x14ac:dyDescent="0.3">
      <c r="A45" t="s">
        <v>17</v>
      </c>
      <c r="B45" s="19">
        <v>36.966994999999997</v>
      </c>
      <c r="C45" s="12">
        <v>-0.18099999999999999</v>
      </c>
      <c r="D45" s="7">
        <v>373.2</v>
      </c>
      <c r="E45" s="12">
        <v>-0.125</v>
      </c>
      <c r="F45">
        <v>2081</v>
      </c>
      <c r="G45" s="14">
        <v>-0.13900000000000001</v>
      </c>
      <c r="H45" t="s">
        <v>17</v>
      </c>
      <c r="I45">
        <v>36.966994999999997</v>
      </c>
      <c r="J45" s="1">
        <v>-0.18099999999999999</v>
      </c>
      <c r="K45">
        <v>373.2</v>
      </c>
      <c r="L45" s="1">
        <v>-0.125</v>
      </c>
      <c r="M45">
        <v>2081</v>
      </c>
      <c r="N45" s="1">
        <v>-0.13900000000000001</v>
      </c>
      <c r="O45" s="18">
        <f t="shared" si="9"/>
        <v>0</v>
      </c>
      <c r="P45" s="18">
        <f t="shared" si="10"/>
        <v>0</v>
      </c>
      <c r="Q45" s="18">
        <f t="shared" si="11"/>
        <v>0</v>
      </c>
      <c r="R45" s="18">
        <f t="shared" si="12"/>
        <v>0</v>
      </c>
      <c r="S45" s="18">
        <f t="shared" si="13"/>
        <v>0</v>
      </c>
      <c r="T45" s="18">
        <f t="shared" si="14"/>
        <v>0</v>
      </c>
    </row>
    <row r="46" spans="1:26" x14ac:dyDescent="0.3">
      <c r="A46" t="s">
        <v>18</v>
      </c>
      <c r="B46" s="19">
        <v>21.714500000000001</v>
      </c>
      <c r="C46" s="12">
        <v>-0.36</v>
      </c>
      <c r="D46" s="7">
        <v>224.2</v>
      </c>
      <c r="E46" s="12">
        <v>-0.222</v>
      </c>
      <c r="F46">
        <v>1166.5</v>
      </c>
      <c r="G46" s="14">
        <v>-0.217</v>
      </c>
      <c r="H46" t="s">
        <v>18</v>
      </c>
      <c r="I46">
        <v>21.714500000000001</v>
      </c>
      <c r="J46" s="1">
        <v>-0.36</v>
      </c>
      <c r="K46">
        <v>224.2</v>
      </c>
      <c r="L46" s="1">
        <v>-0.222</v>
      </c>
      <c r="M46">
        <v>1166.5</v>
      </c>
      <c r="N46" s="1">
        <v>-0.217</v>
      </c>
      <c r="O46" s="18">
        <f t="shared" si="9"/>
        <v>0</v>
      </c>
      <c r="P46" s="18">
        <f t="shared" si="10"/>
        <v>0</v>
      </c>
      <c r="Q46" s="18">
        <f t="shared" si="11"/>
        <v>0</v>
      </c>
      <c r="R46" s="18">
        <f t="shared" si="12"/>
        <v>0</v>
      </c>
      <c r="S46" s="18">
        <f t="shared" si="13"/>
        <v>0</v>
      </c>
      <c r="T46" s="18">
        <f t="shared" si="14"/>
        <v>0</v>
      </c>
    </row>
    <row r="47" spans="1:26" x14ac:dyDescent="0.3">
      <c r="A47" t="s">
        <v>19</v>
      </c>
      <c r="B47" s="19">
        <v>0.215</v>
      </c>
      <c r="C47" s="12">
        <v>-0.28299999999999997</v>
      </c>
      <c r="D47" s="7">
        <v>1.4</v>
      </c>
      <c r="E47" s="12">
        <v>6.7000000000000004E-2</v>
      </c>
      <c r="F47">
        <v>8.6999999999999993</v>
      </c>
      <c r="G47" s="14">
        <v>0.22600000000000001</v>
      </c>
      <c r="H47" t="s">
        <v>19</v>
      </c>
      <c r="I47">
        <v>0.215</v>
      </c>
      <c r="J47" s="1">
        <v>-0.28299999999999997</v>
      </c>
      <c r="K47">
        <v>1.4</v>
      </c>
      <c r="L47" s="1">
        <v>6.7000000000000004E-2</v>
      </c>
      <c r="M47">
        <v>8.6999999999999993</v>
      </c>
      <c r="N47" s="1">
        <v>0.22600000000000001</v>
      </c>
      <c r="O47" s="18">
        <f t="shared" si="9"/>
        <v>0</v>
      </c>
      <c r="P47" s="18">
        <f t="shared" si="10"/>
        <v>0</v>
      </c>
      <c r="Q47" s="18">
        <f t="shared" si="11"/>
        <v>0</v>
      </c>
      <c r="R47" s="18">
        <f t="shared" si="12"/>
        <v>0</v>
      </c>
      <c r="S47" s="18">
        <f t="shared" si="13"/>
        <v>0</v>
      </c>
      <c r="T47" s="18">
        <f t="shared" si="14"/>
        <v>0</v>
      </c>
    </row>
    <row r="48" spans="1:26" x14ac:dyDescent="0.3">
      <c r="A48" t="s">
        <v>20</v>
      </c>
      <c r="B48" s="19">
        <v>39.042634999999997</v>
      </c>
      <c r="C48" s="12">
        <v>6.8000000000000005E-2</v>
      </c>
      <c r="D48" s="7">
        <v>298.2</v>
      </c>
      <c r="E48" s="12">
        <v>-0.16</v>
      </c>
      <c r="F48">
        <v>1401.9</v>
      </c>
      <c r="G48" s="14">
        <v>-0.122</v>
      </c>
      <c r="H48" t="s">
        <v>20</v>
      </c>
      <c r="I48">
        <v>39.042634999999997</v>
      </c>
      <c r="J48" s="1">
        <v>6.8000000000000005E-2</v>
      </c>
      <c r="K48">
        <v>298.2</v>
      </c>
      <c r="L48" s="1">
        <v>-0.16</v>
      </c>
      <c r="M48">
        <v>1401.9</v>
      </c>
      <c r="N48" s="1">
        <v>-0.122</v>
      </c>
      <c r="O48" s="18">
        <f t="shared" si="9"/>
        <v>0</v>
      </c>
      <c r="P48" s="18">
        <f t="shared" si="10"/>
        <v>0</v>
      </c>
      <c r="Q48" s="18">
        <f t="shared" si="11"/>
        <v>0</v>
      </c>
      <c r="R48" s="18">
        <f t="shared" si="12"/>
        <v>0</v>
      </c>
      <c r="S48" s="18">
        <f t="shared" si="13"/>
        <v>0</v>
      </c>
      <c r="T48" s="18">
        <f t="shared" si="14"/>
        <v>0</v>
      </c>
    </row>
    <row r="49" spans="1:20" x14ac:dyDescent="0.3">
      <c r="A49" t="s">
        <v>21</v>
      </c>
      <c r="B49" s="19">
        <v>39.017634999999899</v>
      </c>
      <c r="C49" s="12">
        <v>7.8E-2</v>
      </c>
      <c r="D49" s="7">
        <v>297.3</v>
      </c>
      <c r="E49" s="12">
        <v>-0.161</v>
      </c>
      <c r="F49">
        <v>1399.2</v>
      </c>
      <c r="G49" s="14">
        <v>-0.122</v>
      </c>
      <c r="H49" t="s">
        <v>21</v>
      </c>
      <c r="I49">
        <v>39.017634999999899</v>
      </c>
      <c r="J49" s="1">
        <v>7.8E-2</v>
      </c>
      <c r="K49">
        <v>297.3</v>
      </c>
      <c r="L49" s="1">
        <v>-0.161</v>
      </c>
      <c r="M49">
        <v>1399.2</v>
      </c>
      <c r="N49" s="1">
        <v>-0.122</v>
      </c>
      <c r="O49" s="18">
        <f t="shared" si="9"/>
        <v>0</v>
      </c>
      <c r="P49" s="18">
        <f t="shared" si="10"/>
        <v>0</v>
      </c>
      <c r="Q49" s="18">
        <f t="shared" si="11"/>
        <v>0</v>
      </c>
      <c r="R49" s="18">
        <f t="shared" si="12"/>
        <v>0</v>
      </c>
      <c r="S49" s="18">
        <f t="shared" si="13"/>
        <v>0</v>
      </c>
      <c r="T49" s="18">
        <f t="shared" si="14"/>
        <v>0</v>
      </c>
    </row>
    <row r="50" spans="1:20" x14ac:dyDescent="0.3">
      <c r="A50" t="s">
        <v>17</v>
      </c>
      <c r="B50" s="19">
        <v>14.454135000000001</v>
      </c>
      <c r="C50" s="12">
        <v>-0.14599999999999999</v>
      </c>
      <c r="D50" s="7">
        <v>131.1</v>
      </c>
      <c r="E50" s="12">
        <v>-0.14499999999999999</v>
      </c>
      <c r="F50">
        <v>681.2</v>
      </c>
      <c r="G50" s="14">
        <v>-0.111</v>
      </c>
      <c r="H50" t="s">
        <v>17</v>
      </c>
      <c r="I50">
        <v>14.4541349999999</v>
      </c>
      <c r="J50" s="1">
        <v>-0.14599999999999999</v>
      </c>
      <c r="K50">
        <v>131.1</v>
      </c>
      <c r="L50" s="1">
        <v>-0.14499999999999999</v>
      </c>
      <c r="M50">
        <v>681.2</v>
      </c>
      <c r="N50" s="1">
        <v>-0.111</v>
      </c>
      <c r="O50" s="18">
        <f t="shared" si="9"/>
        <v>1.0125233984581428E-13</v>
      </c>
      <c r="P50" s="18">
        <f t="shared" si="10"/>
        <v>0</v>
      </c>
      <c r="Q50" s="18">
        <f t="shared" si="11"/>
        <v>0</v>
      </c>
      <c r="R50" s="18">
        <f t="shared" si="12"/>
        <v>0</v>
      </c>
      <c r="S50" s="18">
        <f t="shared" si="13"/>
        <v>0</v>
      </c>
      <c r="T50" s="18">
        <f t="shared" si="14"/>
        <v>0</v>
      </c>
    </row>
    <row r="51" spans="1:20" x14ac:dyDescent="0.3">
      <c r="A51" t="s">
        <v>18</v>
      </c>
      <c r="B51" s="19">
        <v>24.563500000000001</v>
      </c>
      <c r="C51" s="12">
        <v>0.27600000000000002</v>
      </c>
      <c r="D51" s="7">
        <v>166.2</v>
      </c>
      <c r="E51" s="12">
        <v>-0.17299999999999999</v>
      </c>
      <c r="F51">
        <v>718</v>
      </c>
      <c r="G51" s="14">
        <v>-0.13200000000000001</v>
      </c>
      <c r="H51" t="s">
        <v>18</v>
      </c>
      <c r="I51">
        <v>24.563500000000001</v>
      </c>
      <c r="J51" s="1">
        <v>0.27600000000000002</v>
      </c>
      <c r="K51">
        <v>166.2</v>
      </c>
      <c r="L51" s="1">
        <v>-0.17299999999999999</v>
      </c>
      <c r="M51">
        <v>718</v>
      </c>
      <c r="N51" s="1">
        <v>-0.13200000000000001</v>
      </c>
      <c r="O51" s="18">
        <f t="shared" si="9"/>
        <v>0</v>
      </c>
      <c r="P51" s="18">
        <f t="shared" si="10"/>
        <v>0</v>
      </c>
      <c r="Q51" s="18">
        <f t="shared" si="11"/>
        <v>0</v>
      </c>
      <c r="R51" s="18">
        <f t="shared" si="12"/>
        <v>0</v>
      </c>
      <c r="S51" s="18">
        <f t="shared" si="13"/>
        <v>0</v>
      </c>
      <c r="T51" s="18">
        <f t="shared" si="14"/>
        <v>0</v>
      </c>
    </row>
    <row r="52" spans="1:20" x14ac:dyDescent="0.3">
      <c r="A52" t="s">
        <v>22</v>
      </c>
      <c r="B52" s="19">
        <v>2.5000000000000001E-2</v>
      </c>
      <c r="C52" s="12">
        <v>-0.93400000000000005</v>
      </c>
      <c r="D52" s="7">
        <v>0.9</v>
      </c>
      <c r="E52" s="12">
        <v>0.32900000000000001</v>
      </c>
      <c r="F52">
        <v>2.7</v>
      </c>
      <c r="G52" s="14">
        <v>9.9000000000000005E-2</v>
      </c>
      <c r="H52" t="s">
        <v>22</v>
      </c>
      <c r="I52">
        <v>2.5000000000000001E-2</v>
      </c>
      <c r="J52" s="1">
        <v>-0.93400000000000005</v>
      </c>
      <c r="K52">
        <v>0.9</v>
      </c>
      <c r="L52" s="1">
        <v>0.32900000000000001</v>
      </c>
      <c r="M52">
        <v>2.7</v>
      </c>
      <c r="N52" s="1">
        <v>9.9000000000000005E-2</v>
      </c>
      <c r="O52" s="18">
        <f t="shared" si="9"/>
        <v>0</v>
      </c>
      <c r="P52" s="18">
        <f t="shared" si="10"/>
        <v>0</v>
      </c>
      <c r="Q52" s="18">
        <f t="shared" si="11"/>
        <v>0</v>
      </c>
      <c r="R52" s="18">
        <f t="shared" si="12"/>
        <v>0</v>
      </c>
      <c r="S52" s="18">
        <f t="shared" si="13"/>
        <v>0</v>
      </c>
      <c r="T52" s="18">
        <f t="shared" si="14"/>
        <v>0</v>
      </c>
    </row>
    <row r="53" spans="1:20" x14ac:dyDescent="0.3">
      <c r="A53" t="s">
        <v>32</v>
      </c>
      <c r="B53" s="19">
        <v>67.281447999999997</v>
      </c>
      <c r="C53" s="12">
        <v>-0.13500000000000001</v>
      </c>
      <c r="D53" s="7">
        <v>618</v>
      </c>
      <c r="E53" s="12">
        <v>-0.17199999999999999</v>
      </c>
      <c r="F53">
        <v>3033.7</v>
      </c>
      <c r="G53" s="14">
        <v>-0.19700000000000001</v>
      </c>
      <c r="H53" t="s">
        <v>32</v>
      </c>
      <c r="I53">
        <v>67.281447999999997</v>
      </c>
      <c r="J53" s="1">
        <v>-0.13500000000000001</v>
      </c>
      <c r="K53">
        <v>618</v>
      </c>
      <c r="L53" s="1">
        <v>-0.17199999999999999</v>
      </c>
      <c r="M53">
        <v>3033.7</v>
      </c>
      <c r="N53" s="1">
        <v>-0.19700000000000001</v>
      </c>
      <c r="O53" s="18">
        <f t="shared" si="9"/>
        <v>0</v>
      </c>
      <c r="P53" s="18">
        <f t="shared" si="10"/>
        <v>0</v>
      </c>
      <c r="Q53" s="18">
        <f t="shared" si="11"/>
        <v>0</v>
      </c>
      <c r="R53" s="18">
        <f t="shared" si="12"/>
        <v>0</v>
      </c>
      <c r="S53" s="18">
        <f t="shared" si="13"/>
        <v>0</v>
      </c>
      <c r="T53" s="18">
        <f t="shared" si="14"/>
        <v>0</v>
      </c>
    </row>
    <row r="54" spans="1:20" x14ac:dyDescent="0.3">
      <c r="A54" t="s">
        <v>33</v>
      </c>
      <c r="B54" s="19">
        <v>67.281447999999997</v>
      </c>
      <c r="C54" s="12">
        <v>-0.13300000000000001</v>
      </c>
      <c r="D54" s="7">
        <v>617.20000000000005</v>
      </c>
      <c r="E54" s="12">
        <v>-0.17</v>
      </c>
      <c r="F54">
        <v>3020</v>
      </c>
      <c r="G54" s="14">
        <v>-0.19900000000000001</v>
      </c>
      <c r="H54" t="s">
        <v>33</v>
      </c>
      <c r="I54">
        <v>67.281447999999997</v>
      </c>
      <c r="J54" s="1">
        <v>-0.13300000000000001</v>
      </c>
      <c r="K54">
        <v>617.20000000000005</v>
      </c>
      <c r="L54" s="1">
        <v>-0.17</v>
      </c>
      <c r="M54">
        <v>3020</v>
      </c>
      <c r="N54" s="1">
        <v>-0.19900000000000001</v>
      </c>
      <c r="O54" s="18">
        <f t="shared" si="9"/>
        <v>0</v>
      </c>
      <c r="P54" s="18">
        <f t="shared" si="10"/>
        <v>0</v>
      </c>
      <c r="Q54" s="18">
        <f t="shared" si="11"/>
        <v>0</v>
      </c>
      <c r="R54" s="18">
        <f t="shared" si="12"/>
        <v>0</v>
      </c>
      <c r="S54" s="18">
        <f t="shared" si="13"/>
        <v>0</v>
      </c>
      <c r="T54" s="18">
        <f t="shared" si="14"/>
        <v>0</v>
      </c>
    </row>
    <row r="55" spans="1:20" x14ac:dyDescent="0.3">
      <c r="A55" t="s">
        <v>17</v>
      </c>
      <c r="B55" s="19">
        <v>29.456448000000002</v>
      </c>
      <c r="C55" s="12">
        <v>-0.10100000000000001</v>
      </c>
      <c r="D55" s="7">
        <v>274.8</v>
      </c>
      <c r="E55" s="12">
        <v>-0.154</v>
      </c>
      <c r="F55">
        <v>1454.8</v>
      </c>
      <c r="G55" s="14">
        <v>-0.153</v>
      </c>
      <c r="H55" t="s">
        <v>17</v>
      </c>
      <c r="I55">
        <v>29.456447999999899</v>
      </c>
      <c r="J55" s="1">
        <v>-0.10100000000000001</v>
      </c>
      <c r="K55">
        <v>274.8</v>
      </c>
      <c r="L55" s="1">
        <v>-0.154</v>
      </c>
      <c r="M55">
        <v>1454.8</v>
      </c>
      <c r="N55" s="1">
        <v>-0.153</v>
      </c>
      <c r="O55" s="18">
        <f t="shared" si="9"/>
        <v>1.0302869668521453E-13</v>
      </c>
      <c r="P55" s="18">
        <f t="shared" si="10"/>
        <v>0</v>
      </c>
      <c r="Q55" s="18">
        <f t="shared" si="11"/>
        <v>0</v>
      </c>
      <c r="R55" s="18">
        <f t="shared" si="12"/>
        <v>0</v>
      </c>
      <c r="S55" s="18">
        <f t="shared" si="13"/>
        <v>0</v>
      </c>
      <c r="T55" s="18">
        <f t="shared" si="14"/>
        <v>0</v>
      </c>
    </row>
    <row r="56" spans="1:20" x14ac:dyDescent="0.3">
      <c r="A56" t="s">
        <v>18</v>
      </c>
      <c r="B56" s="19">
        <v>37.825000000000003</v>
      </c>
      <c r="C56" s="12">
        <v>-0.157</v>
      </c>
      <c r="D56" s="7">
        <v>342.4</v>
      </c>
      <c r="E56" s="12">
        <v>-0.183</v>
      </c>
      <c r="F56">
        <v>1565.2</v>
      </c>
      <c r="G56" s="14">
        <v>-0.23699999999999999</v>
      </c>
      <c r="H56" t="s">
        <v>18</v>
      </c>
      <c r="I56">
        <v>37.825000000000003</v>
      </c>
      <c r="J56" s="1">
        <v>-0.157</v>
      </c>
      <c r="K56">
        <v>342.4</v>
      </c>
      <c r="L56" s="1">
        <v>-0.183</v>
      </c>
      <c r="M56">
        <v>1565.2</v>
      </c>
      <c r="N56" s="1">
        <v>-0.23699999999999999</v>
      </c>
      <c r="O56" s="18">
        <f t="shared" si="9"/>
        <v>0</v>
      </c>
      <c r="P56" s="18">
        <f t="shared" si="10"/>
        <v>0</v>
      </c>
      <c r="Q56" s="18">
        <f t="shared" si="11"/>
        <v>0</v>
      </c>
      <c r="R56" s="18">
        <f t="shared" si="12"/>
        <v>0</v>
      </c>
      <c r="S56" s="18">
        <f t="shared" si="13"/>
        <v>0</v>
      </c>
      <c r="T56" s="18">
        <f t="shared" si="14"/>
        <v>0</v>
      </c>
    </row>
    <row r="57" spans="1:20" x14ac:dyDescent="0.3">
      <c r="A57" t="s">
        <v>34</v>
      </c>
      <c r="B57" s="19">
        <v>0</v>
      </c>
      <c r="C57" s="12">
        <v>-1</v>
      </c>
      <c r="D57" s="7">
        <v>0.9</v>
      </c>
      <c r="E57" s="12">
        <v>-0.66200000000000003</v>
      </c>
      <c r="F57">
        <v>13.8</v>
      </c>
      <c r="G57" s="14">
        <v>1.113</v>
      </c>
      <c r="H57" t="s">
        <v>34</v>
      </c>
      <c r="I57">
        <v>0</v>
      </c>
      <c r="J57" s="1">
        <v>-1</v>
      </c>
      <c r="K57">
        <v>0.9</v>
      </c>
      <c r="L57" s="1">
        <v>-0.66200000000000003</v>
      </c>
      <c r="M57">
        <v>13.8</v>
      </c>
      <c r="N57" s="1">
        <v>1.113</v>
      </c>
      <c r="O57" s="18">
        <f t="shared" si="9"/>
        <v>0</v>
      </c>
      <c r="P57" s="18">
        <f t="shared" si="10"/>
        <v>0</v>
      </c>
      <c r="Q57" s="18">
        <f t="shared" si="11"/>
        <v>0</v>
      </c>
      <c r="R57" s="18">
        <f t="shared" si="12"/>
        <v>0</v>
      </c>
      <c r="S57" s="18">
        <f t="shared" si="13"/>
        <v>0</v>
      </c>
      <c r="T57" s="18">
        <f t="shared" si="14"/>
        <v>0</v>
      </c>
    </row>
    <row r="58" spans="1:20" x14ac:dyDescent="0.3">
      <c r="A58" s="3" t="s">
        <v>38</v>
      </c>
      <c r="B58" s="20">
        <v>171.26346699999999</v>
      </c>
      <c r="C58" s="13">
        <v>-6.4000000000000001E-2</v>
      </c>
      <c r="D58" s="8">
        <v>1547.7</v>
      </c>
      <c r="E58" s="13">
        <v>-7.1999999999999995E-2</v>
      </c>
      <c r="F58" s="3">
        <v>7615.4</v>
      </c>
      <c r="G58" s="21">
        <v>-0.13200000000000001</v>
      </c>
      <c r="H58" t="s">
        <v>38</v>
      </c>
      <c r="I58">
        <v>171.26346699999999</v>
      </c>
      <c r="J58" s="1">
        <v>-6.4000000000000001E-2</v>
      </c>
      <c r="K58">
        <v>1547.7</v>
      </c>
      <c r="L58" s="1">
        <v>-7.1999999999999995E-2</v>
      </c>
      <c r="M58">
        <v>7615.4</v>
      </c>
      <c r="N58" s="1">
        <v>-0.13200000000000001</v>
      </c>
      <c r="O58" s="18">
        <f t="shared" si="9"/>
        <v>0</v>
      </c>
      <c r="P58" s="18">
        <f t="shared" si="10"/>
        <v>0</v>
      </c>
      <c r="Q58" s="18">
        <f t="shared" si="11"/>
        <v>0</v>
      </c>
      <c r="R58" s="18">
        <f t="shared" si="12"/>
        <v>0</v>
      </c>
      <c r="S58" s="18">
        <f t="shared" si="13"/>
        <v>0</v>
      </c>
      <c r="T58" s="18">
        <f t="shared" si="14"/>
        <v>0</v>
      </c>
    </row>
    <row r="59" spans="1:20" x14ac:dyDescent="0.3">
      <c r="A59" t="s">
        <v>23</v>
      </c>
      <c r="B59" s="19">
        <v>36.523466999999997</v>
      </c>
      <c r="C59" s="12">
        <v>0.107</v>
      </c>
      <c r="D59" s="7">
        <v>315.5</v>
      </c>
      <c r="E59" s="12">
        <v>1E-3</v>
      </c>
      <c r="F59">
        <v>1368.8</v>
      </c>
      <c r="G59" s="14">
        <v>-0.16700000000000001</v>
      </c>
      <c r="H59" t="s">
        <v>23</v>
      </c>
      <c r="I59">
        <v>36.523466999999997</v>
      </c>
      <c r="J59" s="1">
        <v>0.107</v>
      </c>
      <c r="K59">
        <v>315.5</v>
      </c>
      <c r="L59" s="1">
        <v>1E-3</v>
      </c>
      <c r="M59">
        <v>1368.8</v>
      </c>
      <c r="N59" s="1">
        <v>-0.16700000000000001</v>
      </c>
      <c r="O59" s="18">
        <f t="shared" si="9"/>
        <v>0</v>
      </c>
      <c r="P59" s="18">
        <f t="shared" si="10"/>
        <v>0</v>
      </c>
      <c r="Q59" s="18">
        <f t="shared" si="11"/>
        <v>0</v>
      </c>
      <c r="R59" s="18">
        <f t="shared" si="12"/>
        <v>0</v>
      </c>
      <c r="S59" s="18">
        <f t="shared" si="13"/>
        <v>0</v>
      </c>
      <c r="T59" s="18">
        <f t="shared" si="14"/>
        <v>0</v>
      </c>
    </row>
    <row r="60" spans="1:20" x14ac:dyDescent="0.3">
      <c r="A60" t="s">
        <v>24</v>
      </c>
      <c r="B60" s="19">
        <v>36.209466999999997</v>
      </c>
      <c r="C60" s="12">
        <v>0.10299999999999999</v>
      </c>
      <c r="D60" s="7">
        <v>311.60000000000002</v>
      </c>
      <c r="E60" s="12">
        <v>-8.0000000000000002E-3</v>
      </c>
      <c r="F60">
        <v>1357.3</v>
      </c>
      <c r="G60" s="14">
        <v>-0.17</v>
      </c>
      <c r="H60" t="s">
        <v>24</v>
      </c>
      <c r="I60">
        <v>36.209466999999997</v>
      </c>
      <c r="J60" s="1">
        <v>0.10299999999999999</v>
      </c>
      <c r="K60">
        <v>311.60000000000002</v>
      </c>
      <c r="L60" s="1">
        <v>-8.0000000000000002E-3</v>
      </c>
      <c r="M60">
        <v>1357.3</v>
      </c>
      <c r="N60" s="1">
        <v>-0.17</v>
      </c>
      <c r="O60" s="18">
        <f t="shared" si="9"/>
        <v>0</v>
      </c>
      <c r="P60" s="18">
        <f t="shared" si="10"/>
        <v>0</v>
      </c>
      <c r="Q60" s="18">
        <f t="shared" si="11"/>
        <v>0</v>
      </c>
      <c r="R60" s="18">
        <f t="shared" si="12"/>
        <v>0</v>
      </c>
      <c r="S60" s="18">
        <f t="shared" si="13"/>
        <v>0</v>
      </c>
      <c r="T60" s="18">
        <f t="shared" si="14"/>
        <v>0</v>
      </c>
    </row>
    <row r="61" spans="1:20" x14ac:dyDescent="0.3">
      <c r="A61" t="s">
        <v>17</v>
      </c>
      <c r="B61" s="19">
        <v>12.550466999999999</v>
      </c>
      <c r="C61" s="12">
        <v>-2.9000000000000001E-2</v>
      </c>
      <c r="D61" s="7">
        <v>119.7</v>
      </c>
      <c r="E61" s="12">
        <v>-6.0999999999999999E-2</v>
      </c>
      <c r="F61">
        <v>594.1</v>
      </c>
      <c r="G61" s="14">
        <v>-0.14000000000000001</v>
      </c>
      <c r="H61" t="s">
        <v>17</v>
      </c>
      <c r="I61">
        <v>12.550466999999999</v>
      </c>
      <c r="J61" s="1">
        <v>-2.9000000000000001E-2</v>
      </c>
      <c r="K61">
        <v>119.7</v>
      </c>
      <c r="L61" s="1">
        <v>-6.0999999999999999E-2</v>
      </c>
      <c r="M61">
        <v>594.1</v>
      </c>
      <c r="N61" s="1">
        <v>-0.14000000000000001</v>
      </c>
      <c r="O61" s="18">
        <f t="shared" si="9"/>
        <v>0</v>
      </c>
      <c r="P61" s="18">
        <f t="shared" si="10"/>
        <v>0</v>
      </c>
      <c r="Q61" s="18">
        <f t="shared" si="11"/>
        <v>0</v>
      </c>
      <c r="R61" s="18">
        <f t="shared" si="12"/>
        <v>0</v>
      </c>
      <c r="S61" s="18">
        <f t="shared" si="13"/>
        <v>0</v>
      </c>
      <c r="T61" s="18">
        <f t="shared" si="14"/>
        <v>0</v>
      </c>
    </row>
    <row r="62" spans="1:20" x14ac:dyDescent="0.3">
      <c r="A62" t="s">
        <v>18</v>
      </c>
      <c r="B62" s="19">
        <v>23.658999999999999</v>
      </c>
      <c r="C62" s="12">
        <v>0.188</v>
      </c>
      <c r="D62" s="7">
        <v>191.8</v>
      </c>
      <c r="E62" s="12">
        <v>2.8000000000000001E-2</v>
      </c>
      <c r="F62">
        <v>763.3</v>
      </c>
      <c r="G62" s="14">
        <v>-0.192</v>
      </c>
      <c r="H62" t="s">
        <v>18</v>
      </c>
      <c r="I62">
        <v>23.658999999999999</v>
      </c>
      <c r="J62" s="1">
        <v>0.188</v>
      </c>
      <c r="K62">
        <v>191.8</v>
      </c>
      <c r="L62" s="1">
        <v>2.8000000000000001E-2</v>
      </c>
      <c r="M62">
        <v>763.3</v>
      </c>
      <c r="N62" s="1">
        <v>-0.192</v>
      </c>
      <c r="O62" s="18">
        <f t="shared" si="9"/>
        <v>0</v>
      </c>
      <c r="P62" s="18">
        <f t="shared" si="10"/>
        <v>0</v>
      </c>
      <c r="Q62" s="18">
        <f t="shared" si="11"/>
        <v>0</v>
      </c>
      <c r="R62" s="18">
        <f t="shared" si="12"/>
        <v>0</v>
      </c>
      <c r="S62" s="18">
        <f t="shared" si="13"/>
        <v>0</v>
      </c>
      <c r="T62" s="18">
        <f t="shared" si="14"/>
        <v>0</v>
      </c>
    </row>
    <row r="63" spans="1:20" x14ac:dyDescent="0.3">
      <c r="A63" t="s">
        <v>25</v>
      </c>
      <c r="B63" s="19">
        <v>0.314</v>
      </c>
      <c r="C63" s="12">
        <v>1.093</v>
      </c>
      <c r="D63" s="7">
        <v>3.9</v>
      </c>
      <c r="E63" s="12">
        <v>2.3420000000000001</v>
      </c>
      <c r="F63">
        <v>11.5</v>
      </c>
      <c r="G63" s="14">
        <v>0.55900000000000005</v>
      </c>
      <c r="H63" t="s">
        <v>25</v>
      </c>
      <c r="I63">
        <v>0.314</v>
      </c>
      <c r="J63" s="1">
        <v>1.093</v>
      </c>
      <c r="K63">
        <v>3.9</v>
      </c>
      <c r="L63" s="1">
        <v>2.3420000000000001</v>
      </c>
      <c r="M63">
        <v>11.5</v>
      </c>
      <c r="N63" s="1">
        <v>0.55900000000000005</v>
      </c>
      <c r="O63" s="18">
        <f t="shared" si="9"/>
        <v>0</v>
      </c>
      <c r="P63" s="18">
        <f t="shared" si="10"/>
        <v>0</v>
      </c>
      <c r="Q63" s="18">
        <f t="shared" si="11"/>
        <v>0</v>
      </c>
      <c r="R63" s="18">
        <f t="shared" si="12"/>
        <v>0</v>
      </c>
      <c r="S63" s="18">
        <f t="shared" si="13"/>
        <v>0</v>
      </c>
      <c r="T63" s="18">
        <f t="shared" si="14"/>
        <v>0</v>
      </c>
    </row>
    <row r="64" spans="1:20" x14ac:dyDescent="0.3">
      <c r="A64" t="s">
        <v>26</v>
      </c>
      <c r="B64" s="19">
        <v>43.567224000000003</v>
      </c>
      <c r="C64" s="12">
        <v>-0.129</v>
      </c>
      <c r="D64" s="7">
        <v>400.2</v>
      </c>
      <c r="E64" s="12">
        <v>-7.6999999999999999E-2</v>
      </c>
      <c r="F64">
        <v>1743.7</v>
      </c>
      <c r="G64" s="14">
        <v>-0.19400000000000001</v>
      </c>
      <c r="H64" t="s">
        <v>26</v>
      </c>
      <c r="I64">
        <v>43.567224000000003</v>
      </c>
      <c r="J64" s="1">
        <v>-0.129</v>
      </c>
      <c r="K64">
        <v>400.2</v>
      </c>
      <c r="L64" s="1">
        <v>-7.6999999999999999E-2</v>
      </c>
      <c r="M64">
        <v>1743.7</v>
      </c>
      <c r="N64" s="1">
        <v>-0.19400000000000001</v>
      </c>
      <c r="O64" s="18">
        <f t="shared" si="9"/>
        <v>0</v>
      </c>
      <c r="P64" s="18">
        <f t="shared" si="10"/>
        <v>0</v>
      </c>
      <c r="Q64" s="18">
        <f t="shared" si="11"/>
        <v>0</v>
      </c>
      <c r="R64" s="18">
        <f t="shared" si="12"/>
        <v>0</v>
      </c>
      <c r="S64" s="18">
        <f t="shared" si="13"/>
        <v>0</v>
      </c>
      <c r="T64" s="18">
        <f t="shared" si="14"/>
        <v>0</v>
      </c>
    </row>
    <row r="65" spans="1:20" x14ac:dyDescent="0.3">
      <c r="A65" t="s">
        <v>27</v>
      </c>
      <c r="B65" s="19">
        <v>43.507224000000001</v>
      </c>
      <c r="C65" s="12">
        <v>-0.112</v>
      </c>
      <c r="D65" s="7">
        <v>396.8</v>
      </c>
      <c r="E65" s="12">
        <v>-7.6999999999999999E-2</v>
      </c>
      <c r="F65">
        <v>1727.6</v>
      </c>
      <c r="G65" s="14">
        <v>-0.19600000000000001</v>
      </c>
      <c r="H65" t="s">
        <v>27</v>
      </c>
      <c r="I65">
        <v>43.507224000000001</v>
      </c>
      <c r="J65" s="1">
        <v>-0.112</v>
      </c>
      <c r="K65">
        <v>396.8</v>
      </c>
      <c r="L65" s="1">
        <v>-7.6999999999999999E-2</v>
      </c>
      <c r="M65">
        <v>1727.6</v>
      </c>
      <c r="N65" s="1">
        <v>-0.19600000000000001</v>
      </c>
      <c r="O65" s="18">
        <f t="shared" si="9"/>
        <v>0</v>
      </c>
      <c r="P65" s="18">
        <f t="shared" si="10"/>
        <v>0</v>
      </c>
      <c r="Q65" s="18">
        <f t="shared" si="11"/>
        <v>0</v>
      </c>
      <c r="R65" s="18">
        <f t="shared" si="12"/>
        <v>0</v>
      </c>
      <c r="S65" s="18">
        <f t="shared" si="13"/>
        <v>0</v>
      </c>
      <c r="T65" s="18">
        <f t="shared" si="14"/>
        <v>0</v>
      </c>
    </row>
    <row r="66" spans="1:20" x14ac:dyDescent="0.3">
      <c r="A66" t="s">
        <v>17</v>
      </c>
      <c r="B66" s="19">
        <v>16.023434000000002</v>
      </c>
      <c r="C66" s="12">
        <v>-6.6000000000000003E-2</v>
      </c>
      <c r="D66" s="7">
        <v>149.5</v>
      </c>
      <c r="E66" s="12">
        <v>-0.109</v>
      </c>
      <c r="F66">
        <v>753.8</v>
      </c>
      <c r="G66" s="14">
        <v>-0.14899999999999999</v>
      </c>
      <c r="H66" t="s">
        <v>17</v>
      </c>
      <c r="I66">
        <v>16.023434000000002</v>
      </c>
      <c r="J66" s="1">
        <v>-6.6000000000000003E-2</v>
      </c>
      <c r="K66">
        <v>149.5</v>
      </c>
      <c r="L66" s="1">
        <v>-0.109</v>
      </c>
      <c r="M66">
        <v>753.8</v>
      </c>
      <c r="N66" s="1">
        <v>-0.14899999999999999</v>
      </c>
      <c r="O66" s="18">
        <f t="shared" si="9"/>
        <v>0</v>
      </c>
      <c r="P66" s="18">
        <f t="shared" si="10"/>
        <v>0</v>
      </c>
      <c r="Q66" s="18">
        <f t="shared" si="11"/>
        <v>0</v>
      </c>
      <c r="R66" s="18">
        <f t="shared" si="12"/>
        <v>0</v>
      </c>
      <c r="S66" s="18">
        <f t="shared" si="13"/>
        <v>0</v>
      </c>
      <c r="T66" s="18">
        <f t="shared" si="14"/>
        <v>0</v>
      </c>
    </row>
    <row r="67" spans="1:20" x14ac:dyDescent="0.3">
      <c r="A67" t="s">
        <v>18</v>
      </c>
      <c r="B67" s="19">
        <v>27.483789999999999</v>
      </c>
      <c r="C67" s="12">
        <v>-0.13700000000000001</v>
      </c>
      <c r="D67" s="7">
        <v>247.3</v>
      </c>
      <c r="E67" s="12">
        <v>-5.7000000000000002E-2</v>
      </c>
      <c r="F67">
        <v>973.8</v>
      </c>
      <c r="G67" s="14">
        <v>-0.23</v>
      </c>
      <c r="H67" t="s">
        <v>18</v>
      </c>
      <c r="I67">
        <v>27.483789999999999</v>
      </c>
      <c r="J67" s="1">
        <v>-0.13700000000000001</v>
      </c>
      <c r="K67">
        <v>247.3</v>
      </c>
      <c r="L67" s="1">
        <v>-5.7000000000000002E-2</v>
      </c>
      <c r="M67">
        <v>973.8</v>
      </c>
      <c r="N67" s="1">
        <v>-0.23</v>
      </c>
      <c r="O67" s="18">
        <f t="shared" si="9"/>
        <v>0</v>
      </c>
      <c r="P67" s="18">
        <f t="shared" si="10"/>
        <v>0</v>
      </c>
      <c r="Q67" s="18">
        <f t="shared" si="11"/>
        <v>0</v>
      </c>
      <c r="R67" s="18">
        <f t="shared" si="12"/>
        <v>0</v>
      </c>
      <c r="S67" s="18">
        <f t="shared" si="13"/>
        <v>0</v>
      </c>
      <c r="T67" s="18">
        <f t="shared" si="14"/>
        <v>0</v>
      </c>
    </row>
    <row r="68" spans="1:20" x14ac:dyDescent="0.3">
      <c r="A68" t="s">
        <v>28</v>
      </c>
      <c r="B68" s="19">
        <v>0.06</v>
      </c>
      <c r="C68" s="12">
        <v>-0.93899999999999995</v>
      </c>
      <c r="D68" s="7">
        <v>3.4</v>
      </c>
      <c r="E68" s="12">
        <v>-0.06</v>
      </c>
      <c r="F68">
        <v>16.100000000000001</v>
      </c>
      <c r="G68" s="14">
        <v>0.11799999999999999</v>
      </c>
      <c r="H68" t="s">
        <v>28</v>
      </c>
      <c r="I68">
        <v>0.06</v>
      </c>
      <c r="J68" s="1">
        <v>-0.93899999999999995</v>
      </c>
      <c r="K68">
        <v>3.4</v>
      </c>
      <c r="L68" s="1">
        <v>-0.06</v>
      </c>
      <c r="M68">
        <v>16.100000000000001</v>
      </c>
      <c r="N68" s="1">
        <v>0.11799999999999999</v>
      </c>
      <c r="O68" s="18">
        <f t="shared" si="9"/>
        <v>0</v>
      </c>
      <c r="P68" s="18">
        <f t="shared" si="10"/>
        <v>0</v>
      </c>
      <c r="Q68" s="18">
        <f t="shared" si="11"/>
        <v>0</v>
      </c>
      <c r="R68" s="18">
        <f t="shared" si="12"/>
        <v>0</v>
      </c>
      <c r="S68" s="18">
        <f t="shared" si="13"/>
        <v>0</v>
      </c>
      <c r="T68" s="18">
        <f t="shared" si="14"/>
        <v>0</v>
      </c>
    </row>
    <row r="69" spans="1:20" x14ac:dyDescent="0.3">
      <c r="A69" t="s">
        <v>29</v>
      </c>
      <c r="B69" s="19">
        <v>91.172775999999999</v>
      </c>
      <c r="C69" s="12">
        <v>-8.6999999999999994E-2</v>
      </c>
      <c r="D69" s="7">
        <v>832</v>
      </c>
      <c r="E69" s="12">
        <v>-9.4E-2</v>
      </c>
      <c r="F69">
        <v>4502.8</v>
      </c>
      <c r="G69" s="14">
        <v>-9.4E-2</v>
      </c>
      <c r="H69" t="s">
        <v>29</v>
      </c>
      <c r="I69">
        <v>91.172775999999999</v>
      </c>
      <c r="J69" s="1">
        <v>-8.6999999999999994E-2</v>
      </c>
      <c r="K69">
        <v>832</v>
      </c>
      <c r="L69" s="1">
        <v>-9.4E-2</v>
      </c>
      <c r="M69">
        <v>4502.8</v>
      </c>
      <c r="N69" s="1">
        <v>-9.4E-2</v>
      </c>
      <c r="O69" s="18">
        <f t="shared" si="9"/>
        <v>0</v>
      </c>
      <c r="P69" s="18">
        <f t="shared" si="10"/>
        <v>0</v>
      </c>
      <c r="Q69" s="18">
        <f t="shared" si="11"/>
        <v>0</v>
      </c>
      <c r="R69" s="18">
        <f t="shared" si="12"/>
        <v>0</v>
      </c>
      <c r="S69" s="18">
        <f t="shared" si="13"/>
        <v>0</v>
      </c>
      <c r="T69" s="18">
        <f t="shared" si="14"/>
        <v>0</v>
      </c>
    </row>
    <row r="70" spans="1:20" x14ac:dyDescent="0.3">
      <c r="A70" t="s">
        <v>30</v>
      </c>
      <c r="B70" s="19">
        <v>91.072776000000005</v>
      </c>
      <c r="C70" s="12">
        <v>-8.6999999999999994E-2</v>
      </c>
      <c r="D70" s="7">
        <v>830.1</v>
      </c>
      <c r="E70" s="12">
        <v>-9.6000000000000002E-2</v>
      </c>
      <c r="F70">
        <v>4494</v>
      </c>
      <c r="G70" s="14">
        <v>-9.5000000000000001E-2</v>
      </c>
      <c r="H70" t="s">
        <v>30</v>
      </c>
      <c r="I70">
        <v>91.072776000000005</v>
      </c>
      <c r="J70" s="1">
        <v>-8.6999999999999994E-2</v>
      </c>
      <c r="K70">
        <v>830.1</v>
      </c>
      <c r="L70" s="1">
        <v>-9.6000000000000002E-2</v>
      </c>
      <c r="M70">
        <v>4494</v>
      </c>
      <c r="N70" s="1">
        <v>-9.5000000000000001E-2</v>
      </c>
      <c r="O70" s="18">
        <f t="shared" si="9"/>
        <v>0</v>
      </c>
      <c r="P70" s="18">
        <f t="shared" si="10"/>
        <v>0</v>
      </c>
      <c r="Q70" s="18">
        <f t="shared" si="11"/>
        <v>0</v>
      </c>
      <c r="R70" s="18">
        <f t="shared" si="12"/>
        <v>0</v>
      </c>
      <c r="S70" s="18">
        <f t="shared" si="13"/>
        <v>0</v>
      </c>
      <c r="T70" s="18">
        <f t="shared" si="14"/>
        <v>0</v>
      </c>
    </row>
    <row r="71" spans="1:20" x14ac:dyDescent="0.3">
      <c r="A71" t="s">
        <v>17</v>
      </c>
      <c r="B71" s="19">
        <v>37.567449000000003</v>
      </c>
      <c r="C71" s="12">
        <v>-9.1999999999999998E-2</v>
      </c>
      <c r="D71" s="7">
        <v>352.6</v>
      </c>
      <c r="E71" s="12">
        <v>-9.1999999999999998E-2</v>
      </c>
      <c r="F71">
        <v>1941.2</v>
      </c>
      <c r="G71" s="14">
        <v>-0.122</v>
      </c>
      <c r="H71" t="s">
        <v>17</v>
      </c>
      <c r="I71">
        <v>37.567448999999897</v>
      </c>
      <c r="J71" s="1">
        <v>-9.1999999999999998E-2</v>
      </c>
      <c r="K71">
        <v>352.6</v>
      </c>
      <c r="L71" s="1">
        <v>-9.1999999999999998E-2</v>
      </c>
      <c r="M71">
        <v>1941.2</v>
      </c>
      <c r="N71" s="1">
        <v>-0.122</v>
      </c>
      <c r="O71" s="18">
        <f t="shared" si="9"/>
        <v>1.0658141036401503E-13</v>
      </c>
      <c r="P71" s="18">
        <f t="shared" si="10"/>
        <v>0</v>
      </c>
      <c r="Q71" s="18">
        <f t="shared" si="11"/>
        <v>0</v>
      </c>
      <c r="R71" s="18">
        <f t="shared" si="12"/>
        <v>0</v>
      </c>
      <c r="S71" s="18">
        <f t="shared" si="13"/>
        <v>0</v>
      </c>
      <c r="T71" s="18">
        <f t="shared" si="14"/>
        <v>0</v>
      </c>
    </row>
    <row r="72" spans="1:20" x14ac:dyDescent="0.3">
      <c r="A72" t="s">
        <v>18</v>
      </c>
      <c r="B72" s="19">
        <v>53.505327000000001</v>
      </c>
      <c r="C72" s="12">
        <v>-8.4000000000000005E-2</v>
      </c>
      <c r="D72" s="7">
        <v>477.4</v>
      </c>
      <c r="E72" s="12">
        <v>-9.8000000000000004E-2</v>
      </c>
      <c r="F72">
        <v>2552.9</v>
      </c>
      <c r="G72" s="14">
        <v>-7.2999999999999995E-2</v>
      </c>
      <c r="H72" t="s">
        <v>18</v>
      </c>
      <c r="I72">
        <v>53.505327000000001</v>
      </c>
      <c r="J72" s="1">
        <v>-8.4000000000000005E-2</v>
      </c>
      <c r="K72">
        <v>477.4</v>
      </c>
      <c r="L72" s="1">
        <v>-9.8000000000000004E-2</v>
      </c>
      <c r="M72">
        <v>2552.9</v>
      </c>
      <c r="N72" s="1">
        <v>-7.2999999999999995E-2</v>
      </c>
      <c r="O72" s="18">
        <f t="shared" si="9"/>
        <v>0</v>
      </c>
      <c r="P72" s="18">
        <f t="shared" si="10"/>
        <v>0</v>
      </c>
      <c r="Q72" s="18">
        <f t="shared" si="11"/>
        <v>0</v>
      </c>
      <c r="R72" s="18">
        <f t="shared" si="12"/>
        <v>0</v>
      </c>
      <c r="S72" s="18">
        <f t="shared" si="13"/>
        <v>0</v>
      </c>
      <c r="T72" s="18">
        <f t="shared" si="14"/>
        <v>0</v>
      </c>
    </row>
    <row r="73" spans="1:20" x14ac:dyDescent="0.3">
      <c r="A73" t="s">
        <v>31</v>
      </c>
      <c r="B73" s="19">
        <v>0.1</v>
      </c>
      <c r="C73" s="12">
        <v>-0.23100000000000001</v>
      </c>
      <c r="D73" s="7">
        <v>1.9</v>
      </c>
      <c r="E73" s="12">
        <v>2.4460000000000002</v>
      </c>
      <c r="F73">
        <v>8.8000000000000007</v>
      </c>
      <c r="G73" s="14">
        <v>0.44800000000000001</v>
      </c>
      <c r="H73" t="s">
        <v>31</v>
      </c>
      <c r="I73">
        <v>0.1</v>
      </c>
      <c r="J73" s="1">
        <v>-0.23100000000000001</v>
      </c>
      <c r="K73">
        <v>1.9</v>
      </c>
      <c r="L73" s="1">
        <v>2.4460000000000002</v>
      </c>
      <c r="M73">
        <v>8.8000000000000007</v>
      </c>
      <c r="N73" s="1">
        <v>0.44800000000000001</v>
      </c>
      <c r="O73" s="18">
        <f t="shared" si="9"/>
        <v>0</v>
      </c>
      <c r="P73" s="18">
        <f t="shared" si="10"/>
        <v>0</v>
      </c>
      <c r="Q73" s="18">
        <f t="shared" si="11"/>
        <v>0</v>
      </c>
      <c r="R73" s="18">
        <f t="shared" si="12"/>
        <v>0</v>
      </c>
      <c r="S73" s="18">
        <f t="shared" si="13"/>
        <v>0</v>
      </c>
      <c r="T73" s="18">
        <f t="shared" si="14"/>
        <v>0</v>
      </c>
    </row>
    <row r="74" spans="1:20" x14ac:dyDescent="0.3">
      <c r="A74" t="s">
        <v>35</v>
      </c>
      <c r="B74" s="19">
        <v>0</v>
      </c>
      <c r="C74" s="12">
        <v>-1</v>
      </c>
      <c r="D74" s="7">
        <v>0</v>
      </c>
      <c r="E74" s="12">
        <v>-1</v>
      </c>
      <c r="F74">
        <v>0</v>
      </c>
      <c r="G74" s="14">
        <v>-1</v>
      </c>
      <c r="H74" t="s">
        <v>35</v>
      </c>
      <c r="I74">
        <v>0</v>
      </c>
      <c r="J74" s="1">
        <v>-1</v>
      </c>
      <c r="K74">
        <v>0</v>
      </c>
      <c r="L74" s="1">
        <v>-1</v>
      </c>
      <c r="M74">
        <v>0</v>
      </c>
      <c r="N74" s="1">
        <v>-1</v>
      </c>
      <c r="O74" s="18">
        <f t="shared" si="9"/>
        <v>0</v>
      </c>
      <c r="P74" s="18">
        <f t="shared" si="10"/>
        <v>0</v>
      </c>
      <c r="Q74" s="18">
        <f t="shared" si="11"/>
        <v>0</v>
      </c>
      <c r="R74" s="18">
        <f t="shared" si="12"/>
        <v>0</v>
      </c>
      <c r="S74" s="18">
        <f t="shared" si="13"/>
        <v>0</v>
      </c>
      <c r="T74" s="18">
        <f t="shared" si="14"/>
        <v>0</v>
      </c>
    </row>
    <row r="78" spans="1:20" x14ac:dyDescent="0.3">
      <c r="C78" s="9"/>
    </row>
    <row r="79" spans="1:20" x14ac:dyDescent="0.3">
      <c r="C79" s="9"/>
      <c r="G79" s="14"/>
      <c r="H79" s="1"/>
    </row>
    <row r="80" spans="1:20" x14ac:dyDescent="0.3">
      <c r="C80" s="9"/>
      <c r="G80" s="21"/>
      <c r="H80" s="1"/>
    </row>
    <row r="81" spans="3:8" x14ac:dyDescent="0.3">
      <c r="C81" s="9"/>
      <c r="G81" s="14"/>
      <c r="H81" s="1"/>
    </row>
    <row r="82" spans="3:8" x14ac:dyDescent="0.3">
      <c r="C82" s="9"/>
      <c r="G82" s="14"/>
      <c r="H82" s="1"/>
    </row>
    <row r="83" spans="3:8" x14ac:dyDescent="0.3">
      <c r="C83" s="9"/>
      <c r="G83" s="14"/>
      <c r="H83" s="1"/>
    </row>
    <row r="84" spans="3:8" x14ac:dyDescent="0.3">
      <c r="C84" s="9"/>
      <c r="G84" s="14"/>
      <c r="H84" s="1"/>
    </row>
    <row r="85" spans="3:8" x14ac:dyDescent="0.3">
      <c r="C85" s="9"/>
      <c r="G85" s="14"/>
      <c r="H85" s="1"/>
    </row>
    <row r="86" spans="3:8" x14ac:dyDescent="0.3">
      <c r="C86" s="9"/>
      <c r="G86" s="14"/>
      <c r="H86" s="1"/>
    </row>
    <row r="87" spans="3:8" x14ac:dyDescent="0.3">
      <c r="C87" s="9"/>
      <c r="G87" s="14"/>
      <c r="H87" s="1"/>
    </row>
    <row r="88" spans="3:8" x14ac:dyDescent="0.3">
      <c r="C88" s="9"/>
      <c r="G88" s="14"/>
      <c r="H88" s="1"/>
    </row>
    <row r="89" spans="3:8" x14ac:dyDescent="0.3">
      <c r="C89" s="9"/>
      <c r="G89" s="14"/>
      <c r="H89" s="1"/>
    </row>
    <row r="90" spans="3:8" x14ac:dyDescent="0.3">
      <c r="C90" s="9"/>
      <c r="G90" s="14"/>
      <c r="H90" s="1"/>
    </row>
    <row r="91" spans="3:8" x14ac:dyDescent="0.3">
      <c r="C91" s="9"/>
      <c r="G91" s="14"/>
      <c r="H91" s="1"/>
    </row>
    <row r="92" spans="3:8" x14ac:dyDescent="0.3">
      <c r="C92" s="9"/>
      <c r="G92" s="14"/>
      <c r="H92" s="1"/>
    </row>
    <row r="93" spans="3:8" x14ac:dyDescent="0.3">
      <c r="C93" s="9"/>
      <c r="G93" s="14"/>
      <c r="H93" s="1"/>
    </row>
    <row r="94" spans="3:8" x14ac:dyDescent="0.3">
      <c r="C94" s="9"/>
      <c r="G94" s="14"/>
      <c r="H94" s="1"/>
    </row>
    <row r="95" spans="3:8" x14ac:dyDescent="0.3">
      <c r="C95" s="9"/>
      <c r="G95" s="14"/>
      <c r="H95" s="1"/>
    </row>
    <row r="96" spans="3:8" x14ac:dyDescent="0.3">
      <c r="C96" s="9"/>
      <c r="G96" s="21"/>
      <c r="H96" s="1"/>
    </row>
    <row r="97" spans="3:8" x14ac:dyDescent="0.3">
      <c r="C97" s="9"/>
      <c r="G97" s="14"/>
      <c r="H97" s="1"/>
    </row>
    <row r="98" spans="3:8" x14ac:dyDescent="0.3">
      <c r="C98" s="9"/>
      <c r="G98" s="14"/>
      <c r="H98" s="1"/>
    </row>
    <row r="99" spans="3:8" x14ac:dyDescent="0.3">
      <c r="C99" s="9"/>
      <c r="G99" s="14"/>
      <c r="H99" s="1"/>
    </row>
    <row r="100" spans="3:8" x14ac:dyDescent="0.3">
      <c r="C100" s="9"/>
      <c r="G100" s="14"/>
      <c r="H100" s="1"/>
    </row>
    <row r="101" spans="3:8" x14ac:dyDescent="0.3">
      <c r="C101" s="9"/>
      <c r="G101" s="14"/>
      <c r="H101" s="1"/>
    </row>
    <row r="102" spans="3:8" x14ac:dyDescent="0.3">
      <c r="C102" s="9"/>
      <c r="G102" s="14"/>
      <c r="H102" s="1"/>
    </row>
    <row r="103" spans="3:8" x14ac:dyDescent="0.3">
      <c r="C103" s="9"/>
      <c r="G103" s="14"/>
      <c r="H103" s="1"/>
    </row>
    <row r="104" spans="3:8" x14ac:dyDescent="0.3">
      <c r="C104" s="9"/>
      <c r="G104" s="14"/>
      <c r="H104" s="1"/>
    </row>
    <row r="105" spans="3:8" x14ac:dyDescent="0.3">
      <c r="C105" s="9"/>
      <c r="G105" s="14"/>
      <c r="H105" s="1"/>
    </row>
    <row r="106" spans="3:8" x14ac:dyDescent="0.3">
      <c r="C106" s="9"/>
      <c r="G106" s="14"/>
      <c r="H106" s="1"/>
    </row>
    <row r="107" spans="3:8" x14ac:dyDescent="0.3">
      <c r="C107" s="9"/>
      <c r="G107" s="14"/>
      <c r="H107" s="1"/>
    </row>
    <row r="108" spans="3:8" x14ac:dyDescent="0.3">
      <c r="C108" s="9"/>
      <c r="G108" s="14"/>
      <c r="H108" s="1"/>
    </row>
    <row r="109" spans="3:8" x14ac:dyDescent="0.3">
      <c r="C109" s="9"/>
      <c r="G109" s="14"/>
      <c r="H109" s="1"/>
    </row>
    <row r="110" spans="3:8" x14ac:dyDescent="0.3">
      <c r="C110" s="9"/>
      <c r="G110" s="14"/>
      <c r="H110" s="1"/>
    </row>
    <row r="111" spans="3:8" x14ac:dyDescent="0.3">
      <c r="C111" s="9"/>
      <c r="G111" s="14"/>
      <c r="H111" s="1"/>
    </row>
    <row r="112" spans="3:8" x14ac:dyDescent="0.3">
      <c r="G112" s="14"/>
      <c r="H1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D6E6-7708-4C90-B956-300DC8EECE24}">
  <dimension ref="A1:Z43"/>
  <sheetViews>
    <sheetView workbookViewId="0">
      <selection activeCell="B11" sqref="B11"/>
    </sheetView>
  </sheetViews>
  <sheetFormatPr defaultRowHeight="14" x14ac:dyDescent="0.3"/>
  <cols>
    <col min="1" max="1" width="19" bestFit="1" customWidth="1"/>
    <col min="3" max="3" width="9" bestFit="1" customWidth="1"/>
    <col min="18" max="18" width="16.5" bestFit="1" customWidth="1"/>
  </cols>
  <sheetData>
    <row r="1" spans="1:26" x14ac:dyDescent="0.3">
      <c r="A1" t="s">
        <v>0</v>
      </c>
      <c r="B1" t="s">
        <v>2</v>
      </c>
      <c r="C1" t="s">
        <v>4</v>
      </c>
      <c r="D1" t="s">
        <v>6</v>
      </c>
      <c r="E1" t="s">
        <v>4</v>
      </c>
      <c r="F1" t="s">
        <v>9</v>
      </c>
      <c r="G1" t="s">
        <v>11</v>
      </c>
      <c r="H1" t="s">
        <v>4</v>
      </c>
      <c r="I1" t="s">
        <v>9</v>
      </c>
      <c r="K1" s="17" t="s">
        <v>78</v>
      </c>
      <c r="R1" t="s">
        <v>0</v>
      </c>
      <c r="S1" t="s">
        <v>2</v>
      </c>
      <c r="T1" t="s">
        <v>4</v>
      </c>
      <c r="U1" t="s">
        <v>6</v>
      </c>
      <c r="V1" t="s">
        <v>4</v>
      </c>
      <c r="W1" t="s">
        <v>9</v>
      </c>
      <c r="X1" t="s">
        <v>11</v>
      </c>
      <c r="Y1" t="s">
        <v>4</v>
      </c>
      <c r="Z1" t="s">
        <v>9</v>
      </c>
    </row>
    <row r="2" spans="1:26" x14ac:dyDescent="0.3">
      <c r="A2" t="s">
        <v>39</v>
      </c>
      <c r="B2">
        <v>72.599999999999994</v>
      </c>
      <c r="C2" s="1">
        <v>-0.126</v>
      </c>
      <c r="D2">
        <v>657.9</v>
      </c>
      <c r="E2" s="1">
        <v>-0.13400000000000001</v>
      </c>
      <c r="F2" s="1">
        <v>-5.7000000000000002E-2</v>
      </c>
      <c r="G2">
        <v>3238.3</v>
      </c>
      <c r="H2" s="1">
        <v>-0.17199999999999999</v>
      </c>
      <c r="I2" s="1">
        <v>-1.2E-2</v>
      </c>
      <c r="R2" t="s">
        <v>14</v>
      </c>
      <c r="S2">
        <v>72.599999999999994</v>
      </c>
      <c r="T2" s="1">
        <v>-0.126</v>
      </c>
      <c r="U2">
        <v>657.9</v>
      </c>
      <c r="V2" s="1">
        <v>-0.13400000000000001</v>
      </c>
      <c r="W2" s="1">
        <v>-5.7000000000000002E-2</v>
      </c>
      <c r="X2">
        <v>3238.3</v>
      </c>
      <c r="Y2" s="1">
        <v>-0.17199999999999999</v>
      </c>
      <c r="Z2" s="1">
        <v>-1.2E-2</v>
      </c>
    </row>
    <row r="3" spans="1:26" x14ac:dyDescent="0.3">
      <c r="A3" s="24" t="s">
        <v>51</v>
      </c>
      <c r="B3">
        <v>36.6</v>
      </c>
      <c r="C3" s="1">
        <v>-0.14499999999999999</v>
      </c>
      <c r="D3">
        <v>330.2</v>
      </c>
      <c r="E3" s="1">
        <v>-0.17100000000000001</v>
      </c>
      <c r="F3" s="1">
        <v>-8.3000000000000004E-2</v>
      </c>
      <c r="G3">
        <v>1658.9</v>
      </c>
      <c r="H3" s="1">
        <v>-0.17599999999999999</v>
      </c>
      <c r="I3" s="1">
        <v>-1.7999999999999999E-2</v>
      </c>
      <c r="J3">
        <f>B8+B13+B18</f>
        <v>36.5</v>
      </c>
      <c r="R3" t="s">
        <v>15</v>
      </c>
      <c r="S3">
        <v>11.9</v>
      </c>
      <c r="T3" s="1">
        <v>-0.27100000000000002</v>
      </c>
      <c r="U3">
        <v>120.8</v>
      </c>
      <c r="V3" s="1">
        <v>-0.17499999999999999</v>
      </c>
      <c r="W3" s="1">
        <v>-8.4000000000000005E-2</v>
      </c>
      <c r="X3">
        <v>652.5</v>
      </c>
      <c r="Y3" s="1">
        <v>-0.18099999999999999</v>
      </c>
      <c r="Z3" s="1">
        <v>-1.7000000000000001E-2</v>
      </c>
    </row>
    <row r="4" spans="1:26" x14ac:dyDescent="0.3">
      <c r="A4" s="24" t="s">
        <v>52</v>
      </c>
      <c r="B4">
        <v>36.5</v>
      </c>
      <c r="C4" s="1">
        <v>-0.14399999999999999</v>
      </c>
      <c r="D4">
        <v>329.5</v>
      </c>
      <c r="E4" s="1">
        <v>-0.17100000000000001</v>
      </c>
      <c r="F4" s="1">
        <v>-8.2000000000000003E-2</v>
      </c>
      <c r="G4">
        <v>1653.2</v>
      </c>
      <c r="H4" s="1">
        <v>-0.17799999999999999</v>
      </c>
      <c r="I4" s="1">
        <v>-1.7999999999999999E-2</v>
      </c>
      <c r="J4">
        <f>J5+J6+J7</f>
        <v>36.699999999999996</v>
      </c>
      <c r="R4" t="s">
        <v>16</v>
      </c>
      <c r="S4">
        <v>11.9</v>
      </c>
      <c r="T4" s="1">
        <v>-0.27200000000000002</v>
      </c>
      <c r="U4">
        <v>120.5</v>
      </c>
      <c r="V4" s="1">
        <v>-0.17599999999999999</v>
      </c>
      <c r="W4" s="1">
        <v>-8.5000000000000006E-2</v>
      </c>
      <c r="X4">
        <v>650.9</v>
      </c>
      <c r="Y4" s="1">
        <v>-0.182</v>
      </c>
      <c r="Z4" s="1">
        <v>-1.7000000000000001E-2</v>
      </c>
    </row>
    <row r="5" spans="1:26" x14ac:dyDescent="0.3">
      <c r="A5" s="24" t="s">
        <v>53</v>
      </c>
      <c r="B5">
        <v>16.7</v>
      </c>
      <c r="C5" s="1">
        <v>-0.154</v>
      </c>
      <c r="D5">
        <v>161.6</v>
      </c>
      <c r="E5" s="1">
        <v>-0.14099999999999999</v>
      </c>
      <c r="F5" s="1">
        <v>-4.8000000000000001E-2</v>
      </c>
      <c r="G5">
        <v>859</v>
      </c>
      <c r="H5" s="1">
        <v>-0.14599999999999999</v>
      </c>
      <c r="I5" s="1">
        <v>-8.9999999999999993E-3</v>
      </c>
      <c r="J5">
        <f>B10+B15+B20</f>
        <v>16.7</v>
      </c>
      <c r="R5" t="s">
        <v>17</v>
      </c>
      <c r="S5">
        <v>7</v>
      </c>
      <c r="T5" s="1">
        <v>-0.19700000000000001</v>
      </c>
      <c r="U5">
        <v>71.5</v>
      </c>
      <c r="V5" s="1">
        <v>-0.13300000000000001</v>
      </c>
      <c r="W5" s="1">
        <v>-3.6999999999999998E-2</v>
      </c>
      <c r="X5">
        <v>393.3</v>
      </c>
      <c r="Y5" s="1">
        <v>-0.15</v>
      </c>
      <c r="Z5" s="1">
        <v>-7.0000000000000001E-3</v>
      </c>
    </row>
    <row r="6" spans="1:26" x14ac:dyDescent="0.3">
      <c r="A6" s="24" t="s">
        <v>54</v>
      </c>
      <c r="B6">
        <v>19.8</v>
      </c>
      <c r="C6" s="1">
        <v>-0.13400000000000001</v>
      </c>
      <c r="D6">
        <v>167.9</v>
      </c>
      <c r="E6" s="1">
        <v>-0.19900000000000001</v>
      </c>
      <c r="F6" s="1">
        <v>-0.113</v>
      </c>
      <c r="G6">
        <v>794.2</v>
      </c>
      <c r="H6" s="1">
        <v>-0.20899999999999999</v>
      </c>
      <c r="I6" s="1">
        <v>-2.5999999999999999E-2</v>
      </c>
      <c r="J6">
        <f>B11+B16+B21</f>
        <v>19.899999999999999</v>
      </c>
      <c r="R6" t="s">
        <v>18</v>
      </c>
      <c r="S6">
        <v>4.9000000000000004</v>
      </c>
      <c r="T6" s="1">
        <v>-0.35799999999999998</v>
      </c>
      <c r="U6">
        <v>49</v>
      </c>
      <c r="V6" s="1">
        <v>-0.23100000000000001</v>
      </c>
      <c r="W6" s="1">
        <v>-0.14699999999999999</v>
      </c>
      <c r="X6">
        <v>257.60000000000002</v>
      </c>
      <c r="Y6" s="1">
        <v>-0.22500000000000001</v>
      </c>
      <c r="Z6" s="1">
        <v>-3.2000000000000001E-2</v>
      </c>
    </row>
    <row r="7" spans="1:26" x14ac:dyDescent="0.3">
      <c r="A7" s="24" t="s">
        <v>55</v>
      </c>
      <c r="B7">
        <v>0.1</v>
      </c>
      <c r="C7" s="1">
        <v>-0.54800000000000004</v>
      </c>
      <c r="D7">
        <v>0.6</v>
      </c>
      <c r="E7" s="1">
        <v>-0.19900000000000001</v>
      </c>
      <c r="F7" s="1">
        <v>-0.185</v>
      </c>
      <c r="G7">
        <v>5.7</v>
      </c>
      <c r="H7" s="1">
        <v>0.83499999999999996</v>
      </c>
      <c r="I7" s="1">
        <v>-2.5000000000000001E-2</v>
      </c>
      <c r="J7">
        <f>B12+B17+B22</f>
        <v>0.1</v>
      </c>
      <c r="R7" t="s">
        <v>19</v>
      </c>
      <c r="S7">
        <v>0.1</v>
      </c>
      <c r="T7" s="1">
        <v>0.10299999999999999</v>
      </c>
      <c r="U7">
        <v>0.3</v>
      </c>
      <c r="V7" s="1">
        <v>2.1999999999999999E-2</v>
      </c>
      <c r="W7" s="1">
        <v>2.2149999999999999</v>
      </c>
      <c r="X7">
        <v>1.6</v>
      </c>
      <c r="Y7" s="1">
        <v>0.215</v>
      </c>
      <c r="Z7" s="1">
        <v>0.123</v>
      </c>
    </row>
    <row r="8" spans="1:26" x14ac:dyDescent="0.3">
      <c r="A8" t="s">
        <v>56</v>
      </c>
      <c r="B8">
        <v>11.9</v>
      </c>
      <c r="C8" s="1">
        <v>-0.27100000000000002</v>
      </c>
      <c r="D8">
        <v>120.8</v>
      </c>
      <c r="E8" s="1">
        <v>-0.17499999999999999</v>
      </c>
      <c r="F8" s="1">
        <v>-8.4000000000000005E-2</v>
      </c>
      <c r="G8">
        <v>652.5</v>
      </c>
      <c r="H8" s="1">
        <v>-0.18099999999999999</v>
      </c>
      <c r="I8" s="1">
        <v>-1.7000000000000001E-2</v>
      </c>
      <c r="R8" t="s">
        <v>20</v>
      </c>
      <c r="S8">
        <v>9.5</v>
      </c>
      <c r="T8" s="1">
        <v>8.7999999999999995E-2</v>
      </c>
      <c r="U8">
        <v>71.5</v>
      </c>
      <c r="V8" s="1">
        <v>-0.161</v>
      </c>
      <c r="W8" s="1">
        <v>-8.7999999999999995E-2</v>
      </c>
      <c r="X8">
        <v>330.5</v>
      </c>
      <c r="Y8" s="1">
        <v>-0.11899999999999999</v>
      </c>
      <c r="Z8" s="1">
        <v>-0.02</v>
      </c>
    </row>
    <row r="9" spans="1:26" x14ac:dyDescent="0.3">
      <c r="A9" t="s">
        <v>57</v>
      </c>
      <c r="B9">
        <v>11.9</v>
      </c>
      <c r="C9" s="1">
        <v>-0.27200000000000002</v>
      </c>
      <c r="D9">
        <v>120.5</v>
      </c>
      <c r="E9" s="1">
        <v>-0.17599999999999999</v>
      </c>
      <c r="F9" s="1">
        <v>-8.5000000000000006E-2</v>
      </c>
      <c r="G9">
        <v>650.9</v>
      </c>
      <c r="H9" s="1">
        <v>-0.182</v>
      </c>
      <c r="I9" s="1">
        <v>-1.7000000000000001E-2</v>
      </c>
      <c r="R9" t="s">
        <v>21</v>
      </c>
      <c r="S9">
        <v>9.5</v>
      </c>
      <c r="T9" s="1">
        <v>9.7000000000000003E-2</v>
      </c>
      <c r="U9">
        <v>71.3</v>
      </c>
      <c r="V9" s="1">
        <v>-0.16200000000000001</v>
      </c>
      <c r="W9" s="1">
        <v>-8.5999999999999993E-2</v>
      </c>
      <c r="X9">
        <v>329.9</v>
      </c>
      <c r="Y9" s="1">
        <v>-0.11899999999999999</v>
      </c>
      <c r="Z9" s="1">
        <v>-0.02</v>
      </c>
    </row>
    <row r="10" spans="1:26" x14ac:dyDescent="0.3">
      <c r="A10" t="s">
        <v>53</v>
      </c>
      <c r="B10">
        <v>7</v>
      </c>
      <c r="C10" s="1">
        <v>-0.19700000000000001</v>
      </c>
      <c r="D10">
        <v>71.5</v>
      </c>
      <c r="E10" s="1">
        <v>-0.13300000000000001</v>
      </c>
      <c r="F10" s="1">
        <v>-3.6999999999999998E-2</v>
      </c>
      <c r="G10">
        <v>393.3</v>
      </c>
      <c r="H10" s="1">
        <v>-0.15</v>
      </c>
      <c r="I10" s="1">
        <v>-7.0000000000000001E-3</v>
      </c>
      <c r="R10" t="s">
        <v>17</v>
      </c>
      <c r="S10">
        <v>3.2</v>
      </c>
      <c r="T10" s="1">
        <v>-0.14599999999999999</v>
      </c>
      <c r="U10">
        <v>29.5</v>
      </c>
      <c r="V10" s="1">
        <v>-0.15</v>
      </c>
      <c r="W10" s="1">
        <v>-8.3000000000000004E-2</v>
      </c>
      <c r="X10">
        <v>149.1</v>
      </c>
      <c r="Y10" s="1">
        <v>-0.11600000000000001</v>
      </c>
      <c r="Z10" s="1">
        <v>-1.7999999999999999E-2</v>
      </c>
    </row>
    <row r="11" spans="1:26" x14ac:dyDescent="0.3">
      <c r="A11" t="s">
        <v>58</v>
      </c>
      <c r="B11">
        <v>4.9000000000000004</v>
      </c>
      <c r="C11" s="1">
        <v>-0.35799999999999998</v>
      </c>
      <c r="D11">
        <v>49</v>
      </c>
      <c r="E11" s="1">
        <v>-0.23100000000000001</v>
      </c>
      <c r="F11" s="1">
        <v>-0.14699999999999999</v>
      </c>
      <c r="G11">
        <v>257.60000000000002</v>
      </c>
      <c r="H11" s="1">
        <v>-0.22500000000000001</v>
      </c>
      <c r="I11" s="1">
        <v>-3.2000000000000001E-2</v>
      </c>
      <c r="R11" t="s">
        <v>18</v>
      </c>
      <c r="S11">
        <v>6.3</v>
      </c>
      <c r="T11" s="1">
        <v>0.28499999999999998</v>
      </c>
      <c r="U11">
        <v>41.8</v>
      </c>
      <c r="V11" s="1">
        <v>-0.17</v>
      </c>
      <c r="W11" s="1">
        <v>-8.7999999999999995E-2</v>
      </c>
      <c r="X11">
        <v>180.8</v>
      </c>
      <c r="Y11" s="1">
        <v>-0.122</v>
      </c>
      <c r="Z11" s="1">
        <v>-2.1999999999999999E-2</v>
      </c>
    </row>
    <row r="12" spans="1:26" x14ac:dyDescent="0.3">
      <c r="A12" t="s">
        <v>59</v>
      </c>
      <c r="B12">
        <v>0.1</v>
      </c>
      <c r="C12" s="1">
        <v>0.10299999999999999</v>
      </c>
      <c r="D12">
        <v>0.3</v>
      </c>
      <c r="E12" s="1">
        <v>2.1999999999999999E-2</v>
      </c>
      <c r="F12" s="1">
        <v>2.2149999999999999</v>
      </c>
      <c r="G12">
        <v>1.6</v>
      </c>
      <c r="H12" s="1">
        <v>0.215</v>
      </c>
      <c r="I12" s="1">
        <v>0.123</v>
      </c>
      <c r="R12" t="s">
        <v>22</v>
      </c>
      <c r="S12">
        <v>0</v>
      </c>
      <c r="T12" s="1">
        <v>-0.91600000000000004</v>
      </c>
      <c r="U12">
        <v>0.2</v>
      </c>
      <c r="V12" s="1">
        <v>0.371</v>
      </c>
      <c r="W12" s="1">
        <v>-0.45200000000000001</v>
      </c>
      <c r="X12">
        <v>0.6</v>
      </c>
      <c r="Y12" s="1">
        <v>0.186</v>
      </c>
      <c r="Z12" s="1">
        <v>-0.22</v>
      </c>
    </row>
    <row r="13" spans="1:26" x14ac:dyDescent="0.3">
      <c r="A13" t="s">
        <v>60</v>
      </c>
      <c r="B13">
        <v>9.5</v>
      </c>
      <c r="C13" s="1">
        <v>8.7999999999999995E-2</v>
      </c>
      <c r="D13">
        <v>71.5</v>
      </c>
      <c r="E13" s="1">
        <v>-0.161</v>
      </c>
      <c r="F13" s="1">
        <v>-8.7999999999999995E-2</v>
      </c>
      <c r="G13">
        <v>330.5</v>
      </c>
      <c r="H13" s="1">
        <v>-0.11899999999999999</v>
      </c>
      <c r="I13" s="1">
        <v>-0.02</v>
      </c>
      <c r="R13" t="s">
        <v>23</v>
      </c>
      <c r="S13">
        <v>9</v>
      </c>
      <c r="T13" s="1">
        <v>0.124</v>
      </c>
      <c r="U13">
        <v>76</v>
      </c>
      <c r="V13" s="1">
        <v>1.7000000000000001E-2</v>
      </c>
      <c r="W13" s="1">
        <v>6.2E-2</v>
      </c>
      <c r="X13">
        <v>325</v>
      </c>
      <c r="Y13" s="1">
        <v>-0.16300000000000001</v>
      </c>
      <c r="Z13" s="1">
        <v>1.4E-2</v>
      </c>
    </row>
    <row r="14" spans="1:26" x14ac:dyDescent="0.3">
      <c r="A14" t="s">
        <v>61</v>
      </c>
      <c r="B14">
        <v>9.5</v>
      </c>
      <c r="C14" s="1">
        <v>9.7000000000000003E-2</v>
      </c>
      <c r="D14">
        <v>71.3</v>
      </c>
      <c r="E14" s="1">
        <v>-0.16200000000000001</v>
      </c>
      <c r="F14" s="1">
        <v>-8.5999999999999993E-2</v>
      </c>
      <c r="G14">
        <v>329.9</v>
      </c>
      <c r="H14" s="1">
        <v>-0.11899999999999999</v>
      </c>
      <c r="I14" s="1">
        <v>-0.02</v>
      </c>
      <c r="R14" t="s">
        <v>24</v>
      </c>
      <c r="S14">
        <v>8.9</v>
      </c>
      <c r="T14" s="1">
        <v>0.12</v>
      </c>
      <c r="U14">
        <v>75</v>
      </c>
      <c r="V14" s="1">
        <v>7.0000000000000001E-3</v>
      </c>
      <c r="W14" s="1">
        <v>6.0999999999999999E-2</v>
      </c>
      <c r="X14">
        <v>322.2</v>
      </c>
      <c r="Y14" s="1">
        <v>-0.16700000000000001</v>
      </c>
      <c r="Z14" s="1">
        <v>1.2999999999999999E-2</v>
      </c>
    </row>
    <row r="15" spans="1:26" x14ac:dyDescent="0.3">
      <c r="A15" t="s">
        <v>53</v>
      </c>
      <c r="B15">
        <v>3.2</v>
      </c>
      <c r="C15" s="1">
        <v>-0.14599999999999999</v>
      </c>
      <c r="D15">
        <v>29.5</v>
      </c>
      <c r="E15" s="1">
        <v>-0.15</v>
      </c>
      <c r="F15" s="1">
        <v>-8.3000000000000004E-2</v>
      </c>
      <c r="G15">
        <v>149.1</v>
      </c>
      <c r="H15" s="1">
        <v>-0.11600000000000001</v>
      </c>
      <c r="I15" s="1">
        <v>-1.7999999999999999E-2</v>
      </c>
      <c r="R15" t="s">
        <v>17</v>
      </c>
      <c r="S15">
        <v>2.8</v>
      </c>
      <c r="T15" s="1">
        <v>-3.6999999999999998E-2</v>
      </c>
      <c r="U15">
        <v>27.1</v>
      </c>
      <c r="V15" s="1">
        <v>-0.05</v>
      </c>
      <c r="W15" s="1">
        <v>6.0999999999999999E-2</v>
      </c>
      <c r="X15">
        <v>131.69999999999999</v>
      </c>
      <c r="Y15" s="1">
        <v>-0.13700000000000001</v>
      </c>
      <c r="Z15" s="1">
        <v>1.2E-2</v>
      </c>
    </row>
    <row r="16" spans="1:26" x14ac:dyDescent="0.3">
      <c r="A16" t="s">
        <v>58</v>
      </c>
      <c r="B16">
        <v>6.3</v>
      </c>
      <c r="C16" s="1">
        <v>0.28499999999999998</v>
      </c>
      <c r="D16">
        <v>41.8</v>
      </c>
      <c r="E16" s="1">
        <v>-0.17</v>
      </c>
      <c r="F16" s="1">
        <v>-8.7999999999999995E-2</v>
      </c>
      <c r="G16">
        <v>180.8</v>
      </c>
      <c r="H16" s="1">
        <v>-0.122</v>
      </c>
      <c r="I16" s="1">
        <v>-2.1999999999999999E-2</v>
      </c>
      <c r="R16" t="s">
        <v>18</v>
      </c>
      <c r="S16">
        <v>6.1</v>
      </c>
      <c r="T16" s="1">
        <v>0.20899999999999999</v>
      </c>
      <c r="U16">
        <v>47.9</v>
      </c>
      <c r="V16" s="1">
        <v>4.2000000000000003E-2</v>
      </c>
      <c r="W16" s="1">
        <v>0.06</v>
      </c>
      <c r="X16">
        <v>190.4</v>
      </c>
      <c r="Y16" s="1">
        <v>-0.186</v>
      </c>
      <c r="Z16" s="1">
        <v>1.4999999999999999E-2</v>
      </c>
    </row>
    <row r="17" spans="1:26" x14ac:dyDescent="0.3">
      <c r="A17" t="s">
        <v>62</v>
      </c>
      <c r="B17">
        <v>0</v>
      </c>
      <c r="C17" s="1">
        <v>-0.91600000000000004</v>
      </c>
      <c r="D17">
        <v>0.2</v>
      </c>
      <c r="E17" s="1">
        <v>0.371</v>
      </c>
      <c r="F17" s="1">
        <v>-0.45200000000000001</v>
      </c>
      <c r="G17">
        <v>0.6</v>
      </c>
      <c r="H17" s="1">
        <v>0.186</v>
      </c>
      <c r="I17" s="1">
        <v>-0.22</v>
      </c>
      <c r="R17" t="s">
        <v>25</v>
      </c>
      <c r="S17">
        <v>0.1</v>
      </c>
      <c r="T17" s="1">
        <v>0.96499999999999997</v>
      </c>
      <c r="U17">
        <v>1</v>
      </c>
      <c r="V17" s="1">
        <v>2.984</v>
      </c>
      <c r="W17" s="1">
        <v>0.17299999999999999</v>
      </c>
      <c r="X17">
        <v>2.8</v>
      </c>
      <c r="Y17" s="1">
        <v>0.68899999999999995</v>
      </c>
      <c r="Z17" s="1">
        <v>5.7000000000000002E-2</v>
      </c>
    </row>
    <row r="18" spans="1:26" x14ac:dyDescent="0.3">
      <c r="A18" t="s">
        <v>63</v>
      </c>
      <c r="B18">
        <v>15.1</v>
      </c>
      <c r="C18" s="1">
        <v>-0.14299999999999999</v>
      </c>
      <c r="D18">
        <v>137.9</v>
      </c>
      <c r="E18" s="1">
        <v>-0.17299999999999999</v>
      </c>
      <c r="F18" s="1">
        <v>-7.9000000000000001E-2</v>
      </c>
      <c r="G18">
        <v>675.9</v>
      </c>
      <c r="H18" s="1">
        <v>-0.19700000000000001</v>
      </c>
      <c r="I18" s="1">
        <v>-1.7000000000000001E-2</v>
      </c>
      <c r="R18" t="s">
        <v>26</v>
      </c>
      <c r="S18">
        <v>10.1</v>
      </c>
      <c r="T18" s="1">
        <v>-0.158</v>
      </c>
      <c r="U18">
        <v>92.4</v>
      </c>
      <c r="V18" s="1">
        <v>-7.4999999999999997E-2</v>
      </c>
      <c r="W18" s="1">
        <v>-6.6000000000000003E-2</v>
      </c>
      <c r="X18">
        <v>399.1</v>
      </c>
      <c r="Y18" s="1">
        <v>-0.19600000000000001</v>
      </c>
      <c r="Z18" s="1">
        <v>-1.6E-2</v>
      </c>
    </row>
    <row r="19" spans="1:26" x14ac:dyDescent="0.3">
      <c r="A19" t="s">
        <v>64</v>
      </c>
      <c r="B19">
        <v>15.1</v>
      </c>
      <c r="C19" s="1">
        <v>-0.14299999999999999</v>
      </c>
      <c r="D19">
        <v>137.69999999999999</v>
      </c>
      <c r="E19" s="1">
        <v>-0.17199999999999999</v>
      </c>
      <c r="F19" s="1">
        <v>-7.8E-2</v>
      </c>
      <c r="G19">
        <v>672.4</v>
      </c>
      <c r="H19" s="1">
        <v>-0.2</v>
      </c>
      <c r="I19" s="1">
        <v>-1.7000000000000001E-2</v>
      </c>
      <c r="R19" t="s">
        <v>27</v>
      </c>
      <c r="S19">
        <v>10.1</v>
      </c>
      <c r="T19" s="1">
        <v>-0.14199999999999999</v>
      </c>
      <c r="U19">
        <v>91.6</v>
      </c>
      <c r="V19" s="1">
        <v>-7.5999999999999998E-2</v>
      </c>
      <c r="W19" s="1">
        <v>-6.6000000000000003E-2</v>
      </c>
      <c r="X19">
        <v>395.5</v>
      </c>
      <c r="Y19" s="1">
        <v>-0.19800000000000001</v>
      </c>
      <c r="Z19" s="1">
        <v>-1.6E-2</v>
      </c>
    </row>
    <row r="20" spans="1:26" x14ac:dyDescent="0.3">
      <c r="A20" t="s">
        <v>53</v>
      </c>
      <c r="B20">
        <v>6.5</v>
      </c>
      <c r="C20" s="1">
        <v>-0.107</v>
      </c>
      <c r="D20">
        <v>60.6</v>
      </c>
      <c r="E20" s="1">
        <v>-0.14599999999999999</v>
      </c>
      <c r="F20" s="1">
        <v>-4.3999999999999997E-2</v>
      </c>
      <c r="G20">
        <v>316.60000000000002</v>
      </c>
      <c r="H20" s="1">
        <v>-0.153</v>
      </c>
      <c r="I20" s="1">
        <v>-8.9999999999999993E-3</v>
      </c>
      <c r="R20" t="s">
        <v>17</v>
      </c>
      <c r="S20">
        <v>3.6</v>
      </c>
      <c r="T20" s="1">
        <v>-3.9E-2</v>
      </c>
      <c r="U20">
        <v>32.799999999999997</v>
      </c>
      <c r="V20" s="1">
        <v>-0.1</v>
      </c>
      <c r="W20" s="1">
        <v>-0.02</v>
      </c>
      <c r="X20">
        <v>162.6</v>
      </c>
      <c r="Y20" s="1">
        <v>-0.14599999999999999</v>
      </c>
      <c r="Z20" s="1">
        <v>-4.0000000000000001E-3</v>
      </c>
    </row>
    <row r="21" spans="1:26" x14ac:dyDescent="0.3">
      <c r="A21" t="s">
        <v>58</v>
      </c>
      <c r="B21">
        <v>8.6999999999999993</v>
      </c>
      <c r="C21" s="1">
        <v>-0.16700000000000001</v>
      </c>
      <c r="D21">
        <v>77</v>
      </c>
      <c r="E21" s="1">
        <v>-0.192</v>
      </c>
      <c r="F21" s="1">
        <v>-0.10299999999999999</v>
      </c>
      <c r="G21">
        <v>355.8</v>
      </c>
      <c r="H21" s="1">
        <v>-0.23699999999999999</v>
      </c>
      <c r="I21" s="1">
        <v>-2.4E-2</v>
      </c>
      <c r="R21" t="s">
        <v>18</v>
      </c>
      <c r="S21">
        <v>6.5</v>
      </c>
      <c r="T21" s="1">
        <v>-0.189</v>
      </c>
      <c r="U21">
        <v>58.8</v>
      </c>
      <c r="V21" s="1">
        <v>-6.0999999999999999E-2</v>
      </c>
      <c r="W21" s="1">
        <v>-9.0999999999999998E-2</v>
      </c>
      <c r="X21">
        <v>232.9</v>
      </c>
      <c r="Y21" s="1">
        <v>-0.23200000000000001</v>
      </c>
      <c r="Z21" s="1">
        <v>-2.5000000000000001E-2</v>
      </c>
    </row>
    <row r="22" spans="1:26" x14ac:dyDescent="0.3">
      <c r="A22" t="s">
        <v>65</v>
      </c>
      <c r="B22">
        <v>0</v>
      </c>
      <c r="C22" s="1">
        <v>-1</v>
      </c>
      <c r="D22">
        <v>0.2</v>
      </c>
      <c r="E22" s="1">
        <v>-0.53300000000000003</v>
      </c>
      <c r="F22" s="1">
        <v>-0.44800000000000001</v>
      </c>
      <c r="G22">
        <v>3.5</v>
      </c>
      <c r="H22" s="1">
        <v>1.7350000000000001</v>
      </c>
      <c r="I22" s="1">
        <v>-4.2999999999999997E-2</v>
      </c>
      <c r="R22" t="s">
        <v>28</v>
      </c>
      <c r="S22">
        <v>0</v>
      </c>
      <c r="T22" s="1">
        <v>-0.93300000000000005</v>
      </c>
      <c r="U22">
        <v>0.8</v>
      </c>
      <c r="V22" s="1">
        <v>-3.4000000000000002E-2</v>
      </c>
      <c r="W22" s="1">
        <v>-5.8000000000000003E-2</v>
      </c>
      <c r="X22">
        <v>3.6</v>
      </c>
      <c r="Y22" s="1">
        <v>0.13100000000000001</v>
      </c>
      <c r="Z22" s="1">
        <v>-1.2999999999999999E-2</v>
      </c>
    </row>
    <row r="23" spans="1:26" x14ac:dyDescent="0.3">
      <c r="A23" s="24" t="s">
        <v>66</v>
      </c>
      <c r="B23">
        <v>36</v>
      </c>
      <c r="C23" s="1">
        <v>-0.106</v>
      </c>
      <c r="D23">
        <v>327.7</v>
      </c>
      <c r="E23" s="1">
        <v>-9.1999999999999998E-2</v>
      </c>
      <c r="F23" s="1">
        <v>-2.9000000000000001E-2</v>
      </c>
      <c r="G23">
        <v>1579.4</v>
      </c>
      <c r="H23" s="1">
        <v>-0.16800000000000001</v>
      </c>
      <c r="I23" s="1">
        <v>-6.0000000000000001E-3</v>
      </c>
      <c r="J23">
        <f>B28+B33+B38</f>
        <v>36</v>
      </c>
      <c r="R23" t="s">
        <v>29</v>
      </c>
      <c r="S23">
        <v>16.899999999999999</v>
      </c>
      <c r="T23" s="1">
        <v>-0.16600000000000001</v>
      </c>
      <c r="U23">
        <v>159.30000000000001</v>
      </c>
      <c r="V23" s="1">
        <v>-0.14499999999999999</v>
      </c>
      <c r="W23" s="1">
        <v>-4.5999999999999999E-2</v>
      </c>
      <c r="X23">
        <v>855.4</v>
      </c>
      <c r="Y23" s="1">
        <v>-0.155</v>
      </c>
      <c r="Z23" s="1">
        <v>-8.9999999999999993E-3</v>
      </c>
    </row>
    <row r="24" spans="1:26" x14ac:dyDescent="0.3">
      <c r="A24" s="24" t="s">
        <v>67</v>
      </c>
      <c r="B24">
        <v>35.9</v>
      </c>
      <c r="C24" s="1">
        <v>-0.10199999999999999</v>
      </c>
      <c r="D24">
        <v>325.39999999999998</v>
      </c>
      <c r="E24" s="1">
        <v>-9.5000000000000001E-2</v>
      </c>
      <c r="F24" s="1">
        <v>-0.03</v>
      </c>
      <c r="G24">
        <v>1571</v>
      </c>
      <c r="H24" s="1">
        <v>-0.16900000000000001</v>
      </c>
      <c r="I24" s="1">
        <v>-6.0000000000000001E-3</v>
      </c>
      <c r="J24">
        <f>J25+J26+J27</f>
        <v>36</v>
      </c>
      <c r="R24" t="s">
        <v>30</v>
      </c>
      <c r="S24">
        <v>16.899999999999999</v>
      </c>
      <c r="T24" s="1">
        <v>-0.16600000000000001</v>
      </c>
      <c r="U24">
        <v>158.80000000000001</v>
      </c>
      <c r="V24" s="1">
        <v>-0.14599999999999999</v>
      </c>
      <c r="W24" s="1">
        <v>-4.7E-2</v>
      </c>
      <c r="X24">
        <v>853.4</v>
      </c>
      <c r="Y24" s="1">
        <v>-0.156</v>
      </c>
      <c r="Z24" s="1">
        <v>-8.9999999999999993E-3</v>
      </c>
    </row>
    <row r="25" spans="1:26" x14ac:dyDescent="0.3">
      <c r="A25" s="24" t="s">
        <v>53</v>
      </c>
      <c r="B25">
        <v>13.9</v>
      </c>
      <c r="C25" s="1">
        <v>-7.0999999999999994E-2</v>
      </c>
      <c r="D25">
        <v>130.69999999999999</v>
      </c>
      <c r="E25" s="1">
        <v>-9.2999999999999999E-2</v>
      </c>
      <c r="F25" s="1">
        <v>1.4E-2</v>
      </c>
      <c r="G25">
        <v>681.2</v>
      </c>
      <c r="H25" s="1">
        <v>-0.13800000000000001</v>
      </c>
      <c r="I25" s="1">
        <v>3.0000000000000001E-3</v>
      </c>
      <c r="J25">
        <f>B30+B35+B40</f>
        <v>13.9</v>
      </c>
      <c r="R25" t="s">
        <v>17</v>
      </c>
      <c r="S25">
        <v>7.5</v>
      </c>
      <c r="T25" s="1">
        <v>-9.7000000000000003E-2</v>
      </c>
      <c r="U25">
        <v>70.7</v>
      </c>
      <c r="V25" s="1">
        <v>-0.106</v>
      </c>
      <c r="W25" s="1">
        <v>1.2E-2</v>
      </c>
      <c r="X25">
        <v>386.9</v>
      </c>
      <c r="Y25" s="1">
        <v>-0.13600000000000001</v>
      </c>
      <c r="Z25" s="1">
        <v>2E-3</v>
      </c>
    </row>
    <row r="26" spans="1:26" x14ac:dyDescent="0.3">
      <c r="A26" s="24" t="s">
        <v>54</v>
      </c>
      <c r="B26">
        <v>22</v>
      </c>
      <c r="C26" s="1">
        <v>-0.121</v>
      </c>
      <c r="D26">
        <v>194.8</v>
      </c>
      <c r="E26" s="1">
        <v>-9.6000000000000002E-2</v>
      </c>
      <c r="F26" s="1">
        <v>-5.7000000000000002E-2</v>
      </c>
      <c r="G26">
        <v>889.8</v>
      </c>
      <c r="H26" s="1">
        <v>-0.192</v>
      </c>
      <c r="I26" s="1">
        <v>-1.2999999999999999E-2</v>
      </c>
      <c r="J26">
        <f>B31+B36+B41</f>
        <v>22</v>
      </c>
      <c r="R26" t="s">
        <v>18</v>
      </c>
      <c r="S26">
        <v>9.4</v>
      </c>
      <c r="T26" s="1">
        <v>-0.214</v>
      </c>
      <c r="U26">
        <v>88.1</v>
      </c>
      <c r="V26" s="1">
        <v>-0.17599999999999999</v>
      </c>
      <c r="W26" s="1">
        <v>-0.09</v>
      </c>
      <c r="X26">
        <v>466.5</v>
      </c>
      <c r="Y26" s="1">
        <v>-0.17199999999999999</v>
      </c>
      <c r="Z26" s="1">
        <v>-1.7999999999999999E-2</v>
      </c>
    </row>
    <row r="27" spans="1:26" x14ac:dyDescent="0.3">
      <c r="A27" s="24" t="s">
        <v>68</v>
      </c>
      <c r="B27">
        <v>0.1</v>
      </c>
      <c r="C27" s="1">
        <v>-0.64800000000000002</v>
      </c>
      <c r="D27">
        <v>2.2999999999999998</v>
      </c>
      <c r="E27" s="1">
        <v>0.88700000000000001</v>
      </c>
      <c r="F27" s="1">
        <v>0.108</v>
      </c>
      <c r="G27">
        <v>8.4</v>
      </c>
      <c r="H27" s="1">
        <v>0.35099999999999998</v>
      </c>
      <c r="I27" s="1">
        <v>2.7E-2</v>
      </c>
      <c r="J27">
        <f>B32+B37+B42</f>
        <v>0.1</v>
      </c>
      <c r="R27" t="s">
        <v>31</v>
      </c>
      <c r="S27">
        <v>0</v>
      </c>
      <c r="T27" s="1">
        <v>-0.106</v>
      </c>
      <c r="U27">
        <v>0.4</v>
      </c>
      <c r="V27" s="1">
        <v>2.734</v>
      </c>
      <c r="W27" s="1">
        <v>0.36499999999999999</v>
      </c>
      <c r="X27">
        <v>2</v>
      </c>
      <c r="Y27" s="1">
        <v>0.45700000000000002</v>
      </c>
      <c r="Z27" s="1">
        <v>6.4000000000000001E-2</v>
      </c>
    </row>
    <row r="28" spans="1:26" x14ac:dyDescent="0.3">
      <c r="A28" t="s">
        <v>69</v>
      </c>
      <c r="B28">
        <v>9</v>
      </c>
      <c r="C28" s="1">
        <v>0.124</v>
      </c>
      <c r="D28">
        <v>76</v>
      </c>
      <c r="E28" s="1">
        <v>1.7000000000000001E-2</v>
      </c>
      <c r="F28" s="1">
        <v>6.2E-2</v>
      </c>
      <c r="G28">
        <v>325</v>
      </c>
      <c r="H28" s="1">
        <v>-0.16300000000000001</v>
      </c>
      <c r="I28" s="1">
        <v>1.4E-2</v>
      </c>
      <c r="R28" t="s">
        <v>32</v>
      </c>
      <c r="S28">
        <v>15.1</v>
      </c>
      <c r="T28" s="1">
        <v>-0.14299999999999999</v>
      </c>
      <c r="U28">
        <v>137.9</v>
      </c>
      <c r="V28" s="1">
        <v>-0.17299999999999999</v>
      </c>
      <c r="W28" s="1">
        <v>-7.9000000000000001E-2</v>
      </c>
      <c r="X28">
        <v>675.9</v>
      </c>
      <c r="Y28" s="1">
        <v>-0.19700000000000001</v>
      </c>
      <c r="Z28" s="1">
        <v>-1.7000000000000001E-2</v>
      </c>
    </row>
    <row r="29" spans="1:26" x14ac:dyDescent="0.3">
      <c r="A29" t="s">
        <v>70</v>
      </c>
      <c r="B29">
        <v>8.9</v>
      </c>
      <c r="C29" s="1">
        <v>0.12</v>
      </c>
      <c r="D29">
        <v>75</v>
      </c>
      <c r="E29" s="1">
        <v>7.0000000000000001E-3</v>
      </c>
      <c r="F29" s="1">
        <v>6.0999999999999999E-2</v>
      </c>
      <c r="G29">
        <v>322.2</v>
      </c>
      <c r="H29" s="1">
        <v>-0.16700000000000001</v>
      </c>
      <c r="I29" s="1">
        <v>1.2999999999999999E-2</v>
      </c>
      <c r="R29" t="s">
        <v>33</v>
      </c>
      <c r="S29">
        <v>15.1</v>
      </c>
      <c r="T29" s="1">
        <v>-0.14299999999999999</v>
      </c>
      <c r="U29">
        <v>137.69999999999999</v>
      </c>
      <c r="V29" s="1">
        <v>-0.17199999999999999</v>
      </c>
      <c r="W29" s="1">
        <v>-7.8E-2</v>
      </c>
      <c r="X29">
        <v>672.4</v>
      </c>
      <c r="Y29" s="1">
        <v>-0.2</v>
      </c>
      <c r="Z29" s="1">
        <v>-1.7000000000000001E-2</v>
      </c>
    </row>
    <row r="30" spans="1:26" x14ac:dyDescent="0.3">
      <c r="A30" t="s">
        <v>53</v>
      </c>
      <c r="B30">
        <v>2.8</v>
      </c>
      <c r="C30" s="1">
        <v>-3.6999999999999998E-2</v>
      </c>
      <c r="D30">
        <v>27.1</v>
      </c>
      <c r="E30" s="1">
        <v>-0.05</v>
      </c>
      <c r="F30" s="1">
        <v>6.0999999999999999E-2</v>
      </c>
      <c r="G30">
        <v>131.69999999999999</v>
      </c>
      <c r="H30" s="1">
        <v>-0.13700000000000001</v>
      </c>
      <c r="I30" s="1">
        <v>1.2E-2</v>
      </c>
      <c r="R30" t="s">
        <v>17</v>
      </c>
      <c r="S30">
        <v>6.5</v>
      </c>
      <c r="T30" s="1">
        <v>-0.107</v>
      </c>
      <c r="U30">
        <v>60.6</v>
      </c>
      <c r="V30" s="1">
        <v>-0.14599999999999999</v>
      </c>
      <c r="W30" s="1">
        <v>-4.3999999999999997E-2</v>
      </c>
      <c r="X30">
        <v>316.60000000000002</v>
      </c>
      <c r="Y30" s="1">
        <v>-0.153</v>
      </c>
      <c r="Z30" s="1">
        <v>-8.9999999999999993E-3</v>
      </c>
    </row>
    <row r="31" spans="1:26" x14ac:dyDescent="0.3">
      <c r="A31" t="s">
        <v>58</v>
      </c>
      <c r="B31">
        <v>6.1</v>
      </c>
      <c r="C31" s="1">
        <v>0.20899999999999999</v>
      </c>
      <c r="D31">
        <v>47.9</v>
      </c>
      <c r="E31" s="1">
        <v>4.2000000000000003E-2</v>
      </c>
      <c r="F31" s="1">
        <v>0.06</v>
      </c>
      <c r="G31">
        <v>190.4</v>
      </c>
      <c r="H31" s="1">
        <v>-0.186</v>
      </c>
      <c r="I31" s="1">
        <v>1.4999999999999999E-2</v>
      </c>
      <c r="R31" t="s">
        <v>18</v>
      </c>
      <c r="S31">
        <v>8.6999999999999993</v>
      </c>
      <c r="T31" s="1">
        <v>-0.16700000000000001</v>
      </c>
      <c r="U31">
        <v>77</v>
      </c>
      <c r="V31" s="1">
        <v>-0.192</v>
      </c>
      <c r="W31" s="1">
        <v>-0.10299999999999999</v>
      </c>
      <c r="X31">
        <v>355.8</v>
      </c>
      <c r="Y31" s="1">
        <v>-0.23699999999999999</v>
      </c>
      <c r="Z31" s="1">
        <v>-2.4E-2</v>
      </c>
    </row>
    <row r="32" spans="1:26" x14ac:dyDescent="0.3">
      <c r="A32" t="s">
        <v>71</v>
      </c>
      <c r="B32">
        <v>0.1</v>
      </c>
      <c r="C32" s="1">
        <v>0.96499999999999997</v>
      </c>
      <c r="D32">
        <v>1</v>
      </c>
      <c r="E32" s="1">
        <v>2.984</v>
      </c>
      <c r="F32" s="1">
        <v>0.17299999999999999</v>
      </c>
      <c r="G32">
        <v>2.8</v>
      </c>
      <c r="H32" s="1">
        <v>0.68899999999999995</v>
      </c>
      <c r="I32" s="1">
        <v>5.7000000000000002E-2</v>
      </c>
      <c r="R32" t="s">
        <v>34</v>
      </c>
      <c r="S32">
        <v>0</v>
      </c>
      <c r="T32" s="1">
        <v>-1</v>
      </c>
      <c r="U32">
        <v>0.2</v>
      </c>
      <c r="V32" s="1">
        <v>-0.53300000000000003</v>
      </c>
      <c r="W32" s="1">
        <v>-0.44800000000000001</v>
      </c>
      <c r="X32">
        <v>3.5</v>
      </c>
      <c r="Y32" s="1">
        <v>1.7350000000000001</v>
      </c>
      <c r="Z32" s="1">
        <v>-4.2999999999999997E-2</v>
      </c>
    </row>
    <row r="33" spans="1:26" x14ac:dyDescent="0.3">
      <c r="A33" t="s">
        <v>72</v>
      </c>
      <c r="B33">
        <v>10.1</v>
      </c>
      <c r="C33" s="1">
        <v>-0.158</v>
      </c>
      <c r="D33">
        <v>92.4</v>
      </c>
      <c r="E33" s="1">
        <v>-7.4999999999999997E-2</v>
      </c>
      <c r="F33" s="1">
        <v>-6.6000000000000003E-2</v>
      </c>
      <c r="G33">
        <v>399.1</v>
      </c>
      <c r="H33" s="1">
        <v>-0.19600000000000001</v>
      </c>
      <c r="I33" s="1">
        <v>-1.6E-2</v>
      </c>
      <c r="R33" t="s">
        <v>35</v>
      </c>
      <c r="S33">
        <v>0</v>
      </c>
      <c r="T33" s="1">
        <v>-1</v>
      </c>
      <c r="U33">
        <v>0</v>
      </c>
      <c r="V33" s="1">
        <v>-1</v>
      </c>
      <c r="W33" t="s">
        <v>36</v>
      </c>
      <c r="X33">
        <v>0</v>
      </c>
      <c r="Y33" s="1">
        <v>-1</v>
      </c>
      <c r="Z33" t="s">
        <v>36</v>
      </c>
    </row>
    <row r="34" spans="1:26" x14ac:dyDescent="0.3">
      <c r="A34" t="s">
        <v>73</v>
      </c>
      <c r="B34">
        <v>10.1</v>
      </c>
      <c r="C34" s="1">
        <v>-0.14199999999999999</v>
      </c>
      <c r="D34">
        <v>91.6</v>
      </c>
      <c r="E34" s="1">
        <v>-7.5999999999999998E-2</v>
      </c>
      <c r="F34" s="1">
        <v>-6.6000000000000003E-2</v>
      </c>
      <c r="G34">
        <v>395.5</v>
      </c>
      <c r="H34" s="1">
        <v>-0.19800000000000001</v>
      </c>
      <c r="I34" s="1">
        <v>-1.6E-2</v>
      </c>
    </row>
    <row r="35" spans="1:26" x14ac:dyDescent="0.3">
      <c r="A35" t="s">
        <v>53</v>
      </c>
      <c r="B35">
        <v>3.6</v>
      </c>
      <c r="C35" s="1">
        <v>-3.9E-2</v>
      </c>
      <c r="D35">
        <v>32.799999999999997</v>
      </c>
      <c r="E35" s="1">
        <v>-0.1</v>
      </c>
      <c r="F35" s="1">
        <v>-0.02</v>
      </c>
      <c r="G35">
        <v>162.6</v>
      </c>
      <c r="H35" s="1">
        <v>-0.14599999999999999</v>
      </c>
      <c r="I35" s="1">
        <v>-4.0000000000000001E-3</v>
      </c>
    </row>
    <row r="36" spans="1:26" x14ac:dyDescent="0.3">
      <c r="A36" t="s">
        <v>58</v>
      </c>
      <c r="B36">
        <v>6.5</v>
      </c>
      <c r="C36" s="1">
        <v>-0.189</v>
      </c>
      <c r="D36">
        <v>58.8</v>
      </c>
      <c r="E36" s="1">
        <v>-6.0999999999999999E-2</v>
      </c>
      <c r="F36" s="1">
        <v>-9.0999999999999998E-2</v>
      </c>
      <c r="G36">
        <v>232.9</v>
      </c>
      <c r="H36" s="1">
        <v>-0.23200000000000001</v>
      </c>
      <c r="I36" s="1">
        <v>-2.5000000000000001E-2</v>
      </c>
    </row>
    <row r="37" spans="1:26" x14ac:dyDescent="0.3">
      <c r="A37" t="s">
        <v>74</v>
      </c>
      <c r="B37">
        <v>0</v>
      </c>
      <c r="C37" s="1">
        <v>-0.93300000000000005</v>
      </c>
      <c r="D37">
        <v>0.8</v>
      </c>
      <c r="E37" s="1">
        <v>-3.4000000000000002E-2</v>
      </c>
      <c r="F37" s="1">
        <v>-5.8000000000000003E-2</v>
      </c>
      <c r="G37">
        <v>3.6</v>
      </c>
      <c r="H37" s="1">
        <v>0.13100000000000001</v>
      </c>
      <c r="I37" s="1">
        <v>-1.2999999999999999E-2</v>
      </c>
    </row>
    <row r="38" spans="1:26" x14ac:dyDescent="0.3">
      <c r="A38" t="s">
        <v>75</v>
      </c>
      <c r="B38">
        <v>16.899999999999999</v>
      </c>
      <c r="C38" s="1">
        <v>-0.16600000000000001</v>
      </c>
      <c r="D38">
        <v>159.30000000000001</v>
      </c>
      <c r="E38" s="1">
        <v>-0.14499999999999999</v>
      </c>
      <c r="F38" s="1">
        <v>-4.5999999999999999E-2</v>
      </c>
      <c r="G38">
        <v>855.4</v>
      </c>
      <c r="H38" s="1">
        <v>-0.155</v>
      </c>
      <c r="I38" s="1">
        <v>-8.9999999999999993E-3</v>
      </c>
    </row>
    <row r="39" spans="1:26" x14ac:dyDescent="0.3">
      <c r="A39" t="s">
        <v>76</v>
      </c>
      <c r="B39">
        <v>16.899999999999999</v>
      </c>
      <c r="C39" s="1">
        <v>-0.16600000000000001</v>
      </c>
      <c r="D39">
        <v>158.80000000000001</v>
      </c>
      <c r="E39" s="1">
        <v>-0.14599999999999999</v>
      </c>
      <c r="F39" s="1">
        <v>-4.7E-2</v>
      </c>
      <c r="G39">
        <v>853.4</v>
      </c>
      <c r="H39" s="1">
        <v>-0.156</v>
      </c>
      <c r="I39" s="1">
        <v>-8.9999999999999993E-3</v>
      </c>
    </row>
    <row r="40" spans="1:26" x14ac:dyDescent="0.3">
      <c r="A40" t="s">
        <v>53</v>
      </c>
      <c r="B40">
        <v>7.5</v>
      </c>
      <c r="C40" s="1">
        <v>-9.7000000000000003E-2</v>
      </c>
      <c r="D40">
        <v>70.7</v>
      </c>
      <c r="E40" s="1">
        <v>-0.106</v>
      </c>
      <c r="F40" s="1">
        <v>1.2E-2</v>
      </c>
      <c r="G40">
        <v>386.9</v>
      </c>
      <c r="H40" s="1">
        <v>-0.13600000000000001</v>
      </c>
      <c r="I40" s="1">
        <v>2E-3</v>
      </c>
    </row>
    <row r="41" spans="1:26" x14ac:dyDescent="0.3">
      <c r="A41" t="s">
        <v>58</v>
      </c>
      <c r="B41">
        <v>9.4</v>
      </c>
      <c r="C41" s="1">
        <v>-0.214</v>
      </c>
      <c r="D41">
        <v>88.1</v>
      </c>
      <c r="E41" s="1">
        <v>-0.17599999999999999</v>
      </c>
      <c r="F41" s="1">
        <v>-0.09</v>
      </c>
      <c r="G41">
        <v>466.5</v>
      </c>
      <c r="H41" s="1">
        <v>-0.17199999999999999</v>
      </c>
      <c r="I41" s="1">
        <v>-1.7999999999999999E-2</v>
      </c>
    </row>
    <row r="42" spans="1:26" x14ac:dyDescent="0.3">
      <c r="A42" t="s">
        <v>77</v>
      </c>
      <c r="B42">
        <v>0</v>
      </c>
      <c r="C42" s="1">
        <v>-0.106</v>
      </c>
      <c r="D42">
        <v>0.4</v>
      </c>
      <c r="E42" s="1">
        <v>2.734</v>
      </c>
      <c r="F42" s="1">
        <v>0.36499999999999999</v>
      </c>
      <c r="G42">
        <v>2</v>
      </c>
      <c r="H42" s="1">
        <v>0.45700000000000002</v>
      </c>
      <c r="I42" s="1">
        <v>6.4000000000000001E-2</v>
      </c>
    </row>
    <row r="43" spans="1:26" x14ac:dyDescent="0.3">
      <c r="A43" t="s">
        <v>35</v>
      </c>
      <c r="B43">
        <v>0</v>
      </c>
      <c r="C43" s="1">
        <v>-1</v>
      </c>
      <c r="D43">
        <v>0</v>
      </c>
      <c r="E43" s="1">
        <v>-1</v>
      </c>
      <c r="F43" t="s">
        <v>36</v>
      </c>
      <c r="G43">
        <v>0</v>
      </c>
      <c r="H43" s="1">
        <v>-1</v>
      </c>
      <c r="I43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5C9B-E576-463E-A932-07C9DC7410A6}">
  <dimension ref="A1:Z33"/>
  <sheetViews>
    <sheetView tabSelected="1" zoomScale="85" zoomScaleNormal="85" workbookViewId="0">
      <selection activeCell="Q16" sqref="Q16"/>
    </sheetView>
  </sheetViews>
  <sheetFormatPr defaultRowHeight="14" x14ac:dyDescent="0.3"/>
  <cols>
    <col min="1" max="1" width="16.5" bestFit="1" customWidth="1"/>
    <col min="3" max="3" width="9" bestFit="1" customWidth="1"/>
    <col min="5" max="5" width="9" bestFit="1" customWidth="1"/>
    <col min="10" max="10" width="19" bestFit="1" customWidth="1"/>
    <col min="12" max="12" width="9" bestFit="1" customWidth="1"/>
    <col min="14" max="14" width="10.1640625" customWidth="1"/>
  </cols>
  <sheetData>
    <row r="1" spans="1:26" x14ac:dyDescent="0.3">
      <c r="A1" t="s">
        <v>0</v>
      </c>
      <c r="B1" t="s">
        <v>2</v>
      </c>
      <c r="C1" t="s">
        <v>4</v>
      </c>
      <c r="D1" t="s">
        <v>6</v>
      </c>
      <c r="E1" t="s">
        <v>4</v>
      </c>
      <c r="F1" t="s">
        <v>9</v>
      </c>
      <c r="G1" t="s">
        <v>11</v>
      </c>
      <c r="H1" t="s">
        <v>4</v>
      </c>
      <c r="I1" t="s">
        <v>9</v>
      </c>
      <c r="J1" s="24" t="s">
        <v>0</v>
      </c>
      <c r="K1" s="24" t="s">
        <v>2</v>
      </c>
      <c r="L1" s="24" t="s">
        <v>4</v>
      </c>
      <c r="M1" s="24" t="s">
        <v>6</v>
      </c>
      <c r="N1" s="24" t="s">
        <v>4</v>
      </c>
      <c r="O1" s="24" t="s">
        <v>9</v>
      </c>
      <c r="P1" s="24" t="s">
        <v>11</v>
      </c>
      <c r="Q1" s="24" t="s">
        <v>4</v>
      </c>
      <c r="R1" s="24" t="s">
        <v>9</v>
      </c>
      <c r="S1" s="17" t="s">
        <v>2</v>
      </c>
      <c r="T1" s="17" t="s">
        <v>4</v>
      </c>
      <c r="U1" s="17" t="s">
        <v>6</v>
      </c>
      <c r="V1" s="17" t="s">
        <v>4</v>
      </c>
      <c r="W1" s="17" t="s">
        <v>9</v>
      </c>
      <c r="X1" s="17" t="s">
        <v>11</v>
      </c>
      <c r="Y1" s="17" t="s">
        <v>4</v>
      </c>
      <c r="Z1" s="17" t="s">
        <v>9</v>
      </c>
    </row>
    <row r="2" spans="1:26" x14ac:dyDescent="0.3">
      <c r="A2" t="s">
        <v>14</v>
      </c>
      <c r="B2">
        <v>72.599999999999994</v>
      </c>
      <c r="C2" s="1">
        <v>-0.126</v>
      </c>
      <c r="D2">
        <v>657.9</v>
      </c>
      <c r="E2" s="1">
        <v>-0.13400000000000001</v>
      </c>
      <c r="F2" s="1">
        <v>-5.7000000000000002E-2</v>
      </c>
      <c r="G2">
        <v>3238.3</v>
      </c>
      <c r="H2" s="1">
        <v>-0.17199999999999999</v>
      </c>
      <c r="I2" s="1">
        <v>-1.2E-2</v>
      </c>
      <c r="J2" t="s">
        <v>39</v>
      </c>
      <c r="K2">
        <v>72.599999999999994</v>
      </c>
      <c r="L2" s="1">
        <v>-0.126</v>
      </c>
      <c r="M2">
        <v>657.9</v>
      </c>
      <c r="N2" s="1">
        <v>-0.13400000000000001</v>
      </c>
      <c r="O2" s="1">
        <v>-5.7000000000000002E-2</v>
      </c>
      <c r="P2">
        <v>3238.3</v>
      </c>
      <c r="Q2" s="1">
        <v>-0.17199999999999999</v>
      </c>
      <c r="R2" s="1">
        <v>-1.2E-2</v>
      </c>
      <c r="S2" s="5">
        <f>B2-K2</f>
        <v>0</v>
      </c>
      <c r="T2" s="5">
        <f t="shared" ref="T2:Z2" si="0">C2-L2</f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</row>
    <row r="3" spans="1:26" x14ac:dyDescent="0.3">
      <c r="A3" t="s">
        <v>15</v>
      </c>
      <c r="B3">
        <v>11.9</v>
      </c>
      <c r="C3" s="1">
        <v>-0.27100000000000002</v>
      </c>
      <c r="D3">
        <v>120.8</v>
      </c>
      <c r="E3" s="1">
        <v>-0.17499999999999999</v>
      </c>
      <c r="F3" s="1">
        <v>-8.4000000000000005E-2</v>
      </c>
      <c r="G3">
        <v>652.5</v>
      </c>
      <c r="H3" s="1">
        <v>-0.18099999999999999</v>
      </c>
      <c r="I3" s="1">
        <v>-1.7000000000000001E-2</v>
      </c>
      <c r="J3" t="s">
        <v>56</v>
      </c>
      <c r="K3">
        <v>11.9</v>
      </c>
      <c r="L3" s="1">
        <v>-0.27100000000000002</v>
      </c>
      <c r="M3">
        <v>120.8</v>
      </c>
      <c r="N3" s="1">
        <v>-0.17499999999999999</v>
      </c>
      <c r="O3" s="1">
        <v>-8.4000000000000005E-2</v>
      </c>
      <c r="P3">
        <v>652.5</v>
      </c>
      <c r="Q3" s="1">
        <v>-0.18099999999999999</v>
      </c>
      <c r="R3" s="1">
        <v>-1.7000000000000001E-2</v>
      </c>
      <c r="S3" s="5">
        <f t="shared" ref="S3:S33" si="1">B3-K3</f>
        <v>0</v>
      </c>
      <c r="T3" s="5">
        <f t="shared" ref="T3:T33" si="2">C3-L3</f>
        <v>0</v>
      </c>
      <c r="U3" s="5">
        <f t="shared" ref="U3:U33" si="3">D3-M3</f>
        <v>0</v>
      </c>
      <c r="V3" s="5">
        <f t="shared" ref="V3:V33" si="4">E3-N3</f>
        <v>0</v>
      </c>
      <c r="W3" s="5">
        <f t="shared" ref="W3:W33" si="5">F3-O3</f>
        <v>0</v>
      </c>
      <c r="X3" s="5">
        <f t="shared" ref="X3:X33" si="6">G3-P3</f>
        <v>0</v>
      </c>
      <c r="Y3" s="5">
        <f t="shared" ref="Y3:Y33" si="7">H3-Q3</f>
        <v>0</v>
      </c>
      <c r="Z3" s="5">
        <f t="shared" ref="Z3:Z33" si="8">I3-R3</f>
        <v>0</v>
      </c>
    </row>
    <row r="4" spans="1:26" x14ac:dyDescent="0.3">
      <c r="A4" t="s">
        <v>16</v>
      </c>
      <c r="B4">
        <v>11.9</v>
      </c>
      <c r="C4" s="1">
        <v>-0.27200000000000002</v>
      </c>
      <c r="D4">
        <v>120.5</v>
      </c>
      <c r="E4" s="1">
        <v>-0.17599999999999999</v>
      </c>
      <c r="F4" s="1">
        <v>-8.5000000000000006E-2</v>
      </c>
      <c r="G4">
        <v>650.9</v>
      </c>
      <c r="H4" s="1">
        <v>-0.182</v>
      </c>
      <c r="I4" s="1">
        <v>-1.7000000000000001E-2</v>
      </c>
      <c r="J4" t="s">
        <v>57</v>
      </c>
      <c r="K4">
        <v>11.9</v>
      </c>
      <c r="L4" s="1">
        <v>-0.27200000000000002</v>
      </c>
      <c r="M4">
        <v>120.5</v>
      </c>
      <c r="N4" s="1">
        <v>-0.17599999999999999</v>
      </c>
      <c r="O4" s="1">
        <v>-8.5000000000000006E-2</v>
      </c>
      <c r="P4">
        <v>650.9</v>
      </c>
      <c r="Q4" s="1">
        <v>-0.182</v>
      </c>
      <c r="R4" s="1">
        <v>-1.7000000000000001E-2</v>
      </c>
      <c r="S4" s="5">
        <f t="shared" si="1"/>
        <v>0</v>
      </c>
      <c r="T4" s="5">
        <f t="shared" si="2"/>
        <v>0</v>
      </c>
      <c r="U4" s="5">
        <f t="shared" si="3"/>
        <v>0</v>
      </c>
      <c r="V4" s="5">
        <f t="shared" si="4"/>
        <v>0</v>
      </c>
      <c r="W4" s="5">
        <f t="shared" si="5"/>
        <v>0</v>
      </c>
      <c r="X4" s="5">
        <f t="shared" si="6"/>
        <v>0</v>
      </c>
      <c r="Y4" s="5">
        <f t="shared" si="7"/>
        <v>0</v>
      </c>
      <c r="Z4" s="5">
        <f t="shared" si="8"/>
        <v>0</v>
      </c>
    </row>
    <row r="5" spans="1:26" x14ac:dyDescent="0.3">
      <c r="A5" t="s">
        <v>17</v>
      </c>
      <c r="B5">
        <v>7</v>
      </c>
      <c r="C5" s="1">
        <v>-0.19700000000000001</v>
      </c>
      <c r="D5">
        <v>71.5</v>
      </c>
      <c r="E5" s="1">
        <v>-0.13300000000000001</v>
      </c>
      <c r="F5" s="1">
        <v>-3.6999999999999998E-2</v>
      </c>
      <c r="G5">
        <v>393.3</v>
      </c>
      <c r="H5" s="1">
        <v>-0.15</v>
      </c>
      <c r="I5" s="1">
        <v>-7.0000000000000001E-3</v>
      </c>
      <c r="J5" t="s">
        <v>53</v>
      </c>
      <c r="K5">
        <v>7</v>
      </c>
      <c r="L5" s="1">
        <v>-0.19700000000000001</v>
      </c>
      <c r="M5">
        <v>71.5</v>
      </c>
      <c r="N5" s="1">
        <v>-0.13300000000000001</v>
      </c>
      <c r="O5" s="1">
        <v>-3.6999999999999998E-2</v>
      </c>
      <c r="P5">
        <v>393.3</v>
      </c>
      <c r="Q5" s="1">
        <v>-0.15</v>
      </c>
      <c r="R5" s="1">
        <v>-7.0000000000000001E-3</v>
      </c>
      <c r="S5" s="5">
        <f t="shared" si="1"/>
        <v>0</v>
      </c>
      <c r="T5" s="5">
        <f t="shared" si="2"/>
        <v>0</v>
      </c>
      <c r="U5" s="5">
        <f t="shared" si="3"/>
        <v>0</v>
      </c>
      <c r="V5" s="5">
        <f t="shared" si="4"/>
        <v>0</v>
      </c>
      <c r="W5" s="5">
        <f t="shared" si="5"/>
        <v>0</v>
      </c>
      <c r="X5" s="5">
        <f t="shared" si="6"/>
        <v>0</v>
      </c>
      <c r="Y5" s="5">
        <f t="shared" si="7"/>
        <v>0</v>
      </c>
      <c r="Z5" s="5">
        <f t="shared" si="8"/>
        <v>0</v>
      </c>
    </row>
    <row r="6" spans="1:26" x14ac:dyDescent="0.3">
      <c r="A6" t="s">
        <v>18</v>
      </c>
      <c r="B6">
        <v>4.9000000000000004</v>
      </c>
      <c r="C6" s="1">
        <v>-0.35799999999999998</v>
      </c>
      <c r="D6">
        <v>49</v>
      </c>
      <c r="E6" s="1">
        <v>-0.23100000000000001</v>
      </c>
      <c r="F6" s="1">
        <v>-0.14699999999999999</v>
      </c>
      <c r="G6">
        <v>257.60000000000002</v>
      </c>
      <c r="H6" s="1">
        <v>-0.22500000000000001</v>
      </c>
      <c r="I6" s="1">
        <v>-3.2000000000000001E-2</v>
      </c>
      <c r="J6" t="s">
        <v>58</v>
      </c>
      <c r="K6">
        <v>4.9000000000000004</v>
      </c>
      <c r="L6" s="1">
        <v>-0.35799999999999998</v>
      </c>
      <c r="M6">
        <v>49</v>
      </c>
      <c r="N6" s="1">
        <v>-0.23100000000000001</v>
      </c>
      <c r="O6" s="1">
        <v>-0.14699999999999999</v>
      </c>
      <c r="P6">
        <v>257.60000000000002</v>
      </c>
      <c r="Q6" s="1">
        <v>-0.22500000000000001</v>
      </c>
      <c r="R6" s="1">
        <v>-3.2000000000000001E-2</v>
      </c>
      <c r="S6" s="5">
        <f t="shared" si="1"/>
        <v>0</v>
      </c>
      <c r="T6" s="5">
        <f t="shared" si="2"/>
        <v>0</v>
      </c>
      <c r="U6" s="5">
        <f t="shared" si="3"/>
        <v>0</v>
      </c>
      <c r="V6" s="5">
        <f t="shared" si="4"/>
        <v>0</v>
      </c>
      <c r="W6" s="5">
        <f t="shared" si="5"/>
        <v>0</v>
      </c>
      <c r="X6" s="5">
        <f t="shared" si="6"/>
        <v>0</v>
      </c>
      <c r="Y6" s="5">
        <f t="shared" si="7"/>
        <v>0</v>
      </c>
      <c r="Z6" s="5">
        <f t="shared" si="8"/>
        <v>0</v>
      </c>
    </row>
    <row r="7" spans="1:26" x14ac:dyDescent="0.3">
      <c r="A7" t="s">
        <v>19</v>
      </c>
      <c r="B7">
        <v>0.1</v>
      </c>
      <c r="C7" s="1">
        <v>0.10299999999999999</v>
      </c>
      <c r="D7">
        <v>0.3</v>
      </c>
      <c r="E7" s="1">
        <v>2.1999999999999999E-2</v>
      </c>
      <c r="F7" s="1">
        <v>2.2149999999999999</v>
      </c>
      <c r="G7">
        <v>1.6</v>
      </c>
      <c r="H7" s="1">
        <v>0.215</v>
      </c>
      <c r="I7" s="1">
        <v>0.123</v>
      </c>
      <c r="J7" t="s">
        <v>59</v>
      </c>
      <c r="K7">
        <v>0.1</v>
      </c>
      <c r="L7" s="1">
        <v>0.10299999999999999</v>
      </c>
      <c r="M7">
        <v>0.3</v>
      </c>
      <c r="N7" s="1">
        <v>2.1999999999999999E-2</v>
      </c>
      <c r="O7" s="1">
        <v>2.2149999999999999</v>
      </c>
      <c r="P7">
        <v>1.6</v>
      </c>
      <c r="Q7" s="1">
        <v>0.215</v>
      </c>
      <c r="R7" s="1">
        <v>0.123</v>
      </c>
      <c r="S7" s="5">
        <f t="shared" si="1"/>
        <v>0</v>
      </c>
      <c r="T7" s="5">
        <f t="shared" si="2"/>
        <v>0</v>
      </c>
      <c r="U7" s="5">
        <f t="shared" si="3"/>
        <v>0</v>
      </c>
      <c r="V7" s="5">
        <f t="shared" si="4"/>
        <v>0</v>
      </c>
      <c r="W7" s="5">
        <f t="shared" si="5"/>
        <v>0</v>
      </c>
      <c r="X7" s="5">
        <f t="shared" si="6"/>
        <v>0</v>
      </c>
      <c r="Y7" s="5">
        <f t="shared" si="7"/>
        <v>0</v>
      </c>
      <c r="Z7" s="5">
        <f t="shared" si="8"/>
        <v>0</v>
      </c>
    </row>
    <row r="8" spans="1:26" x14ac:dyDescent="0.3">
      <c r="A8" t="s">
        <v>20</v>
      </c>
      <c r="B8">
        <v>9.5</v>
      </c>
      <c r="C8" s="1">
        <v>8.7999999999999995E-2</v>
      </c>
      <c r="D8">
        <v>71.5</v>
      </c>
      <c r="E8" s="1">
        <v>-0.161</v>
      </c>
      <c r="F8" s="1">
        <v>-8.7999999999999995E-2</v>
      </c>
      <c r="G8">
        <v>330.5</v>
      </c>
      <c r="H8" s="1">
        <v>-0.11899999999999999</v>
      </c>
      <c r="I8" s="1">
        <v>-0.02</v>
      </c>
      <c r="J8" t="s">
        <v>60</v>
      </c>
      <c r="K8">
        <v>9.5</v>
      </c>
      <c r="L8" s="1">
        <v>8.7999999999999995E-2</v>
      </c>
      <c r="M8">
        <v>71.5</v>
      </c>
      <c r="N8" s="1">
        <v>-0.161</v>
      </c>
      <c r="O8" s="1">
        <v>-8.7999999999999995E-2</v>
      </c>
      <c r="P8">
        <v>330.5</v>
      </c>
      <c r="Q8" s="1">
        <v>-0.11899999999999999</v>
      </c>
      <c r="R8" s="1">
        <v>-0.02</v>
      </c>
      <c r="S8" s="5">
        <f t="shared" si="1"/>
        <v>0</v>
      </c>
      <c r="T8" s="5">
        <f t="shared" si="2"/>
        <v>0</v>
      </c>
      <c r="U8" s="5">
        <f t="shared" si="3"/>
        <v>0</v>
      </c>
      <c r="V8" s="5">
        <f t="shared" si="4"/>
        <v>0</v>
      </c>
      <c r="W8" s="5">
        <f t="shared" si="5"/>
        <v>0</v>
      </c>
      <c r="X8" s="5">
        <f t="shared" si="6"/>
        <v>0</v>
      </c>
      <c r="Y8" s="5">
        <f t="shared" si="7"/>
        <v>0</v>
      </c>
      <c r="Z8" s="5">
        <f t="shared" si="8"/>
        <v>0</v>
      </c>
    </row>
    <row r="9" spans="1:26" x14ac:dyDescent="0.3">
      <c r="A9" t="s">
        <v>21</v>
      </c>
      <c r="B9">
        <v>9.5</v>
      </c>
      <c r="C9" s="1">
        <v>9.7000000000000003E-2</v>
      </c>
      <c r="D9">
        <v>71.3</v>
      </c>
      <c r="E9" s="1">
        <v>-0.16200000000000001</v>
      </c>
      <c r="F9" s="1">
        <v>-8.5999999999999993E-2</v>
      </c>
      <c r="G9">
        <v>329.9</v>
      </c>
      <c r="H9" s="1">
        <v>-0.11899999999999999</v>
      </c>
      <c r="I9" s="1">
        <v>-0.02</v>
      </c>
      <c r="J9" t="s">
        <v>61</v>
      </c>
      <c r="K9">
        <v>9.5</v>
      </c>
      <c r="L9" s="1">
        <v>9.7000000000000003E-2</v>
      </c>
      <c r="M9">
        <v>71.3</v>
      </c>
      <c r="N9" s="1">
        <v>-0.16200000000000001</v>
      </c>
      <c r="O9" s="1">
        <v>-8.5999999999999993E-2</v>
      </c>
      <c r="P9">
        <v>329.9</v>
      </c>
      <c r="Q9" s="1">
        <v>-0.11899999999999999</v>
      </c>
      <c r="R9" s="1">
        <v>-0.02</v>
      </c>
      <c r="S9" s="5">
        <f t="shared" si="1"/>
        <v>0</v>
      </c>
      <c r="T9" s="5">
        <f t="shared" si="2"/>
        <v>0</v>
      </c>
      <c r="U9" s="5">
        <f t="shared" si="3"/>
        <v>0</v>
      </c>
      <c r="V9" s="5">
        <f t="shared" si="4"/>
        <v>0</v>
      </c>
      <c r="W9" s="5">
        <f t="shared" si="5"/>
        <v>0</v>
      </c>
      <c r="X9" s="5">
        <f t="shared" si="6"/>
        <v>0</v>
      </c>
      <c r="Y9" s="5">
        <f t="shared" si="7"/>
        <v>0</v>
      </c>
      <c r="Z9" s="5">
        <f t="shared" si="8"/>
        <v>0</v>
      </c>
    </row>
    <row r="10" spans="1:26" x14ac:dyDescent="0.3">
      <c r="A10" t="s">
        <v>17</v>
      </c>
      <c r="B10">
        <v>3.2</v>
      </c>
      <c r="C10" s="1">
        <v>-0.14599999999999999</v>
      </c>
      <c r="D10">
        <v>29.5</v>
      </c>
      <c r="E10" s="1">
        <v>-0.15</v>
      </c>
      <c r="F10" s="1">
        <v>-8.3000000000000004E-2</v>
      </c>
      <c r="G10">
        <v>149.1</v>
      </c>
      <c r="H10" s="1">
        <v>-0.11600000000000001</v>
      </c>
      <c r="I10" s="1">
        <v>-1.7999999999999999E-2</v>
      </c>
      <c r="J10" t="s">
        <v>53</v>
      </c>
      <c r="K10">
        <v>3.2</v>
      </c>
      <c r="L10" s="1">
        <v>-0.14599999999999999</v>
      </c>
      <c r="M10">
        <v>29.5</v>
      </c>
      <c r="N10" s="1">
        <v>-0.15</v>
      </c>
      <c r="O10" s="1">
        <v>-8.3000000000000004E-2</v>
      </c>
      <c r="P10">
        <v>149.1</v>
      </c>
      <c r="Q10" s="1">
        <v>-0.11600000000000001</v>
      </c>
      <c r="R10" s="1">
        <v>-1.7999999999999999E-2</v>
      </c>
      <c r="S10" s="5">
        <f t="shared" si="1"/>
        <v>0</v>
      </c>
      <c r="T10" s="5">
        <f t="shared" si="2"/>
        <v>0</v>
      </c>
      <c r="U10" s="5">
        <f t="shared" si="3"/>
        <v>0</v>
      </c>
      <c r="V10" s="5">
        <f t="shared" si="4"/>
        <v>0</v>
      </c>
      <c r="W10" s="5">
        <f t="shared" si="5"/>
        <v>0</v>
      </c>
      <c r="X10" s="5">
        <f t="shared" si="6"/>
        <v>0</v>
      </c>
      <c r="Y10" s="5">
        <f t="shared" si="7"/>
        <v>0</v>
      </c>
      <c r="Z10" s="5">
        <f t="shared" si="8"/>
        <v>0</v>
      </c>
    </row>
    <row r="11" spans="1:26" x14ac:dyDescent="0.3">
      <c r="A11" t="s">
        <v>18</v>
      </c>
      <c r="B11">
        <v>6.3</v>
      </c>
      <c r="C11" s="1">
        <v>0.28499999999999998</v>
      </c>
      <c r="D11">
        <v>41.8</v>
      </c>
      <c r="E11" s="1">
        <v>-0.17</v>
      </c>
      <c r="F11" s="1">
        <v>-8.7999999999999995E-2</v>
      </c>
      <c r="G11">
        <v>180.8</v>
      </c>
      <c r="H11" s="1">
        <v>-0.122</v>
      </c>
      <c r="I11" s="1">
        <v>-2.1999999999999999E-2</v>
      </c>
      <c r="J11" t="s">
        <v>58</v>
      </c>
      <c r="K11">
        <v>6.3</v>
      </c>
      <c r="L11" s="1">
        <v>0.28499999999999998</v>
      </c>
      <c r="M11">
        <v>41.8</v>
      </c>
      <c r="N11" s="1">
        <v>-0.17</v>
      </c>
      <c r="O11" s="1">
        <v>-8.7999999999999995E-2</v>
      </c>
      <c r="P11">
        <v>180.8</v>
      </c>
      <c r="Q11" s="1">
        <v>-0.122</v>
      </c>
      <c r="R11" s="1">
        <v>-2.1999999999999999E-2</v>
      </c>
      <c r="S11" s="5">
        <f t="shared" si="1"/>
        <v>0</v>
      </c>
      <c r="T11" s="5">
        <f t="shared" si="2"/>
        <v>0</v>
      </c>
      <c r="U11" s="5">
        <f t="shared" si="3"/>
        <v>0</v>
      </c>
      <c r="V11" s="5">
        <f t="shared" si="4"/>
        <v>0</v>
      </c>
      <c r="W11" s="5">
        <f t="shared" si="5"/>
        <v>0</v>
      </c>
      <c r="X11" s="5">
        <f t="shared" si="6"/>
        <v>0</v>
      </c>
      <c r="Y11" s="5">
        <f t="shared" si="7"/>
        <v>0</v>
      </c>
      <c r="Z11" s="5">
        <f t="shared" si="8"/>
        <v>0</v>
      </c>
    </row>
    <row r="12" spans="1:26" x14ac:dyDescent="0.3">
      <c r="A12" t="s">
        <v>22</v>
      </c>
      <c r="B12">
        <v>0</v>
      </c>
      <c r="C12" s="1">
        <v>-0.91600000000000004</v>
      </c>
      <c r="D12">
        <v>0.2</v>
      </c>
      <c r="E12" s="1">
        <v>0.371</v>
      </c>
      <c r="F12" s="1">
        <v>-0.45200000000000001</v>
      </c>
      <c r="G12">
        <v>0.6</v>
      </c>
      <c r="H12" s="1">
        <v>0.186</v>
      </c>
      <c r="I12" s="1">
        <v>-0.22</v>
      </c>
      <c r="J12" t="s">
        <v>62</v>
      </c>
      <c r="K12">
        <v>0</v>
      </c>
      <c r="L12" s="1">
        <v>-0.91600000000000004</v>
      </c>
      <c r="M12">
        <v>0.2</v>
      </c>
      <c r="N12" s="1">
        <v>0.371</v>
      </c>
      <c r="O12" s="1">
        <v>-0.45200000000000001</v>
      </c>
      <c r="P12">
        <v>0.6</v>
      </c>
      <c r="Q12" s="1">
        <v>0.186</v>
      </c>
      <c r="R12" s="1">
        <v>-0.22</v>
      </c>
      <c r="S12" s="5">
        <f t="shared" si="1"/>
        <v>0</v>
      </c>
      <c r="T12" s="5">
        <f t="shared" si="2"/>
        <v>0</v>
      </c>
      <c r="U12" s="5">
        <f t="shared" si="3"/>
        <v>0</v>
      </c>
      <c r="V12" s="5">
        <f t="shared" si="4"/>
        <v>0</v>
      </c>
      <c r="W12" s="5">
        <f t="shared" si="5"/>
        <v>0</v>
      </c>
      <c r="X12" s="5">
        <f t="shared" si="6"/>
        <v>0</v>
      </c>
      <c r="Y12" s="5">
        <f t="shared" si="7"/>
        <v>0</v>
      </c>
      <c r="Z12" s="5">
        <f t="shared" si="8"/>
        <v>0</v>
      </c>
    </row>
    <row r="13" spans="1:26" x14ac:dyDescent="0.3">
      <c r="A13" t="s">
        <v>23</v>
      </c>
      <c r="B13">
        <v>9</v>
      </c>
      <c r="C13" s="1">
        <v>0.124</v>
      </c>
      <c r="D13">
        <v>76</v>
      </c>
      <c r="E13" s="1">
        <v>1.7000000000000001E-2</v>
      </c>
      <c r="F13" s="1">
        <v>6.2E-2</v>
      </c>
      <c r="G13">
        <v>325</v>
      </c>
      <c r="H13" s="1">
        <v>-0.16300000000000001</v>
      </c>
      <c r="I13" s="1">
        <v>1.4E-2</v>
      </c>
      <c r="J13" t="s">
        <v>69</v>
      </c>
      <c r="K13">
        <v>9</v>
      </c>
      <c r="L13" s="1">
        <v>0.124</v>
      </c>
      <c r="M13">
        <v>76</v>
      </c>
      <c r="N13" s="1">
        <v>1.7000000000000001E-2</v>
      </c>
      <c r="O13" s="1">
        <v>6.2E-2</v>
      </c>
      <c r="P13">
        <v>325</v>
      </c>
      <c r="Q13" s="1">
        <v>-0.16300000000000001</v>
      </c>
      <c r="R13" s="1">
        <v>1.4E-2</v>
      </c>
      <c r="S13" s="5">
        <f t="shared" si="1"/>
        <v>0</v>
      </c>
      <c r="T13" s="5">
        <f t="shared" si="2"/>
        <v>0</v>
      </c>
      <c r="U13" s="5">
        <f t="shared" si="3"/>
        <v>0</v>
      </c>
      <c r="V13" s="5">
        <f t="shared" si="4"/>
        <v>0</v>
      </c>
      <c r="W13" s="5">
        <f t="shared" si="5"/>
        <v>0</v>
      </c>
      <c r="X13" s="5">
        <f t="shared" si="6"/>
        <v>0</v>
      </c>
      <c r="Y13" s="5">
        <f t="shared" si="7"/>
        <v>0</v>
      </c>
      <c r="Z13" s="5">
        <f t="shared" si="8"/>
        <v>0</v>
      </c>
    </row>
    <row r="14" spans="1:26" x14ac:dyDescent="0.3">
      <c r="A14" t="s">
        <v>24</v>
      </c>
      <c r="B14">
        <v>8.9</v>
      </c>
      <c r="C14" s="1">
        <v>0.12</v>
      </c>
      <c r="D14">
        <v>75</v>
      </c>
      <c r="E14" s="1">
        <v>7.0000000000000001E-3</v>
      </c>
      <c r="F14" s="1">
        <v>6.0999999999999999E-2</v>
      </c>
      <c r="G14">
        <v>322.2</v>
      </c>
      <c r="H14" s="1">
        <v>-0.16700000000000001</v>
      </c>
      <c r="I14" s="1">
        <v>1.2999999999999999E-2</v>
      </c>
      <c r="J14" t="s">
        <v>70</v>
      </c>
      <c r="K14">
        <v>8.9</v>
      </c>
      <c r="L14" s="1">
        <v>0.12</v>
      </c>
      <c r="M14">
        <v>75</v>
      </c>
      <c r="N14" s="1">
        <v>7.0000000000000001E-3</v>
      </c>
      <c r="O14" s="1">
        <v>6.0999999999999999E-2</v>
      </c>
      <c r="P14">
        <v>322.2</v>
      </c>
      <c r="Q14" s="1">
        <v>-0.16700000000000001</v>
      </c>
      <c r="R14" s="1">
        <v>1.2999999999999999E-2</v>
      </c>
      <c r="S14" s="5">
        <f t="shared" si="1"/>
        <v>0</v>
      </c>
      <c r="T14" s="5">
        <f t="shared" si="2"/>
        <v>0</v>
      </c>
      <c r="U14" s="5">
        <f t="shared" si="3"/>
        <v>0</v>
      </c>
      <c r="V14" s="5">
        <f t="shared" si="4"/>
        <v>0</v>
      </c>
      <c r="W14" s="5">
        <f t="shared" si="5"/>
        <v>0</v>
      </c>
      <c r="X14" s="5">
        <f t="shared" si="6"/>
        <v>0</v>
      </c>
      <c r="Y14" s="5">
        <f t="shared" si="7"/>
        <v>0</v>
      </c>
      <c r="Z14" s="5">
        <f t="shared" si="8"/>
        <v>0</v>
      </c>
    </row>
    <row r="15" spans="1:26" x14ac:dyDescent="0.3">
      <c r="A15" t="s">
        <v>17</v>
      </c>
      <c r="B15">
        <v>2.8</v>
      </c>
      <c r="C15" s="1">
        <v>-3.6999999999999998E-2</v>
      </c>
      <c r="D15">
        <v>27.1</v>
      </c>
      <c r="E15" s="1">
        <v>-0.05</v>
      </c>
      <c r="F15" s="1">
        <v>6.0999999999999999E-2</v>
      </c>
      <c r="G15">
        <v>131.69999999999999</v>
      </c>
      <c r="H15" s="1">
        <v>-0.13700000000000001</v>
      </c>
      <c r="I15" s="1">
        <v>1.2E-2</v>
      </c>
      <c r="J15" t="s">
        <v>53</v>
      </c>
      <c r="K15">
        <v>2.8</v>
      </c>
      <c r="L15" s="1">
        <v>-3.6999999999999998E-2</v>
      </c>
      <c r="M15">
        <v>27.1</v>
      </c>
      <c r="N15" s="1">
        <v>-0.05</v>
      </c>
      <c r="O15" s="1">
        <v>6.0999999999999999E-2</v>
      </c>
      <c r="P15">
        <v>131.69999999999999</v>
      </c>
      <c r="Q15" s="1">
        <v>-0.13700000000000001</v>
      </c>
      <c r="R15" s="1">
        <v>1.2E-2</v>
      </c>
      <c r="S15" s="5">
        <f t="shared" si="1"/>
        <v>0</v>
      </c>
      <c r="T15" s="5">
        <f t="shared" si="2"/>
        <v>0</v>
      </c>
      <c r="U15" s="5">
        <f t="shared" si="3"/>
        <v>0</v>
      </c>
      <c r="V15" s="5">
        <f t="shared" si="4"/>
        <v>0</v>
      </c>
      <c r="W15" s="5">
        <f t="shared" si="5"/>
        <v>0</v>
      </c>
      <c r="X15" s="5">
        <f t="shared" si="6"/>
        <v>0</v>
      </c>
      <c r="Y15" s="5">
        <f t="shared" si="7"/>
        <v>0</v>
      </c>
      <c r="Z15" s="5">
        <f t="shared" si="8"/>
        <v>0</v>
      </c>
    </row>
    <row r="16" spans="1:26" x14ac:dyDescent="0.3">
      <c r="A16" t="s">
        <v>18</v>
      </c>
      <c r="B16">
        <v>6.1</v>
      </c>
      <c r="C16" s="1">
        <v>0.20899999999999999</v>
      </c>
      <c r="D16">
        <v>47.9</v>
      </c>
      <c r="E16" s="1">
        <v>4.2000000000000003E-2</v>
      </c>
      <c r="F16" s="1">
        <v>0.06</v>
      </c>
      <c r="G16">
        <v>190.4</v>
      </c>
      <c r="H16" s="1">
        <v>-0.186</v>
      </c>
      <c r="I16" s="1">
        <v>1.4999999999999999E-2</v>
      </c>
      <c r="J16" t="s">
        <v>58</v>
      </c>
      <c r="K16">
        <v>6.1</v>
      </c>
      <c r="L16" s="1">
        <v>0.20899999999999999</v>
      </c>
      <c r="M16">
        <v>47.9</v>
      </c>
      <c r="N16" s="1">
        <v>4.2000000000000003E-2</v>
      </c>
      <c r="O16" s="1">
        <v>0.06</v>
      </c>
      <c r="P16">
        <v>190.4</v>
      </c>
      <c r="Q16" s="1">
        <v>-0.186</v>
      </c>
      <c r="R16" s="1">
        <v>1.4999999999999999E-2</v>
      </c>
      <c r="S16" s="5">
        <f t="shared" si="1"/>
        <v>0</v>
      </c>
      <c r="T16" s="5">
        <f t="shared" si="2"/>
        <v>0</v>
      </c>
      <c r="U16" s="5">
        <f t="shared" si="3"/>
        <v>0</v>
      </c>
      <c r="V16" s="5">
        <f t="shared" si="4"/>
        <v>0</v>
      </c>
      <c r="W16" s="5">
        <f t="shared" si="5"/>
        <v>0</v>
      </c>
      <c r="X16" s="5">
        <f t="shared" si="6"/>
        <v>0</v>
      </c>
      <c r="Y16" s="5">
        <f t="shared" si="7"/>
        <v>0</v>
      </c>
      <c r="Z16" s="5">
        <f t="shared" si="8"/>
        <v>0</v>
      </c>
    </row>
    <row r="17" spans="1:26" x14ac:dyDescent="0.3">
      <c r="A17" t="s">
        <v>25</v>
      </c>
      <c r="B17">
        <v>0.1</v>
      </c>
      <c r="C17" s="1">
        <v>0.96499999999999997</v>
      </c>
      <c r="D17">
        <v>1</v>
      </c>
      <c r="E17" s="1">
        <v>2.984</v>
      </c>
      <c r="F17" s="1">
        <v>0.17299999999999999</v>
      </c>
      <c r="G17">
        <v>2.8</v>
      </c>
      <c r="H17" s="1">
        <v>0.68899999999999995</v>
      </c>
      <c r="I17" s="1">
        <v>5.7000000000000002E-2</v>
      </c>
      <c r="J17" t="s">
        <v>71</v>
      </c>
      <c r="K17">
        <v>0.1</v>
      </c>
      <c r="L17" s="1">
        <v>0.96499999999999997</v>
      </c>
      <c r="M17">
        <v>1</v>
      </c>
      <c r="N17" s="1">
        <v>2.984</v>
      </c>
      <c r="O17" s="1">
        <v>0.17299999999999999</v>
      </c>
      <c r="P17">
        <v>2.8</v>
      </c>
      <c r="Q17" s="1">
        <v>0.68899999999999995</v>
      </c>
      <c r="R17" s="1">
        <v>5.7000000000000002E-2</v>
      </c>
      <c r="S17" s="5">
        <f t="shared" si="1"/>
        <v>0</v>
      </c>
      <c r="T17" s="5">
        <f t="shared" si="2"/>
        <v>0</v>
      </c>
      <c r="U17" s="5">
        <f t="shared" si="3"/>
        <v>0</v>
      </c>
      <c r="V17" s="5">
        <f t="shared" si="4"/>
        <v>0</v>
      </c>
      <c r="W17" s="5">
        <f t="shared" si="5"/>
        <v>0</v>
      </c>
      <c r="X17" s="5">
        <f t="shared" si="6"/>
        <v>0</v>
      </c>
      <c r="Y17" s="5">
        <f t="shared" si="7"/>
        <v>0</v>
      </c>
      <c r="Z17" s="5">
        <f t="shared" si="8"/>
        <v>0</v>
      </c>
    </row>
    <row r="18" spans="1:26" x14ac:dyDescent="0.3">
      <c r="A18" t="s">
        <v>26</v>
      </c>
      <c r="B18">
        <v>10.1</v>
      </c>
      <c r="C18" s="1">
        <v>-0.158</v>
      </c>
      <c r="D18">
        <v>92.4</v>
      </c>
      <c r="E18" s="1">
        <v>-7.4999999999999997E-2</v>
      </c>
      <c r="F18" s="1">
        <v>-6.6000000000000003E-2</v>
      </c>
      <c r="G18">
        <v>399.1</v>
      </c>
      <c r="H18" s="1">
        <v>-0.19600000000000001</v>
      </c>
      <c r="I18" s="1">
        <v>-1.6E-2</v>
      </c>
      <c r="J18" t="s">
        <v>72</v>
      </c>
      <c r="K18">
        <v>10.1</v>
      </c>
      <c r="L18" s="1">
        <v>-0.158</v>
      </c>
      <c r="M18">
        <v>92.4</v>
      </c>
      <c r="N18" s="1">
        <v>-7.4999999999999997E-2</v>
      </c>
      <c r="O18" s="1">
        <v>-6.6000000000000003E-2</v>
      </c>
      <c r="P18">
        <v>399.1</v>
      </c>
      <c r="Q18" s="1">
        <v>-0.19600000000000001</v>
      </c>
      <c r="R18" s="1">
        <v>-1.6E-2</v>
      </c>
      <c r="S18" s="5">
        <f t="shared" si="1"/>
        <v>0</v>
      </c>
      <c r="T18" s="5">
        <f t="shared" si="2"/>
        <v>0</v>
      </c>
      <c r="U18" s="5">
        <f t="shared" si="3"/>
        <v>0</v>
      </c>
      <c r="V18" s="5">
        <f t="shared" si="4"/>
        <v>0</v>
      </c>
      <c r="W18" s="5">
        <f t="shared" si="5"/>
        <v>0</v>
      </c>
      <c r="X18" s="5">
        <f t="shared" si="6"/>
        <v>0</v>
      </c>
      <c r="Y18" s="5">
        <f t="shared" si="7"/>
        <v>0</v>
      </c>
      <c r="Z18" s="5">
        <f t="shared" si="8"/>
        <v>0</v>
      </c>
    </row>
    <row r="19" spans="1:26" x14ac:dyDescent="0.3">
      <c r="A19" t="s">
        <v>27</v>
      </c>
      <c r="B19">
        <v>10.1</v>
      </c>
      <c r="C19" s="1">
        <v>-0.14199999999999999</v>
      </c>
      <c r="D19">
        <v>91.6</v>
      </c>
      <c r="E19" s="1">
        <v>-7.5999999999999998E-2</v>
      </c>
      <c r="F19" s="1">
        <v>-6.6000000000000003E-2</v>
      </c>
      <c r="G19">
        <v>395.5</v>
      </c>
      <c r="H19" s="1">
        <v>-0.19800000000000001</v>
      </c>
      <c r="I19" s="1">
        <v>-1.6E-2</v>
      </c>
      <c r="J19" t="s">
        <v>73</v>
      </c>
      <c r="K19">
        <v>10.1</v>
      </c>
      <c r="L19" s="1">
        <v>-0.14199999999999999</v>
      </c>
      <c r="M19">
        <v>91.6</v>
      </c>
      <c r="N19" s="1">
        <v>-7.5999999999999998E-2</v>
      </c>
      <c r="O19" s="1">
        <v>-6.6000000000000003E-2</v>
      </c>
      <c r="P19">
        <v>395.5</v>
      </c>
      <c r="Q19" s="1">
        <v>-0.19800000000000001</v>
      </c>
      <c r="R19" s="1">
        <v>-1.6E-2</v>
      </c>
      <c r="S19" s="5">
        <f t="shared" si="1"/>
        <v>0</v>
      </c>
      <c r="T19" s="5">
        <f t="shared" si="2"/>
        <v>0</v>
      </c>
      <c r="U19" s="5">
        <f t="shared" si="3"/>
        <v>0</v>
      </c>
      <c r="V19" s="5">
        <f t="shared" si="4"/>
        <v>0</v>
      </c>
      <c r="W19" s="5">
        <f t="shared" si="5"/>
        <v>0</v>
      </c>
      <c r="X19" s="5">
        <f t="shared" si="6"/>
        <v>0</v>
      </c>
      <c r="Y19" s="5">
        <f t="shared" si="7"/>
        <v>0</v>
      </c>
      <c r="Z19" s="5">
        <f t="shared" si="8"/>
        <v>0</v>
      </c>
    </row>
    <row r="20" spans="1:26" x14ac:dyDescent="0.3">
      <c r="A20" t="s">
        <v>17</v>
      </c>
      <c r="B20">
        <v>3.6</v>
      </c>
      <c r="C20" s="1">
        <v>-3.9E-2</v>
      </c>
      <c r="D20">
        <v>32.799999999999997</v>
      </c>
      <c r="E20" s="1">
        <v>-0.1</v>
      </c>
      <c r="F20" s="1">
        <v>-0.02</v>
      </c>
      <c r="G20">
        <v>162.6</v>
      </c>
      <c r="H20" s="1">
        <v>-0.14599999999999999</v>
      </c>
      <c r="I20" s="1">
        <v>-4.0000000000000001E-3</v>
      </c>
      <c r="J20" t="s">
        <v>53</v>
      </c>
      <c r="K20">
        <v>3.6</v>
      </c>
      <c r="L20" s="1">
        <v>-3.9E-2</v>
      </c>
      <c r="M20">
        <v>32.799999999999997</v>
      </c>
      <c r="N20" s="1">
        <v>-0.1</v>
      </c>
      <c r="O20" s="1">
        <v>-0.02</v>
      </c>
      <c r="P20">
        <v>162.6</v>
      </c>
      <c r="Q20" s="1">
        <v>-0.14599999999999999</v>
      </c>
      <c r="R20" s="1">
        <v>-4.0000000000000001E-3</v>
      </c>
      <c r="S20" s="5">
        <f t="shared" si="1"/>
        <v>0</v>
      </c>
      <c r="T20" s="5">
        <f t="shared" si="2"/>
        <v>0</v>
      </c>
      <c r="U20" s="5">
        <f t="shared" si="3"/>
        <v>0</v>
      </c>
      <c r="V20" s="5">
        <f t="shared" si="4"/>
        <v>0</v>
      </c>
      <c r="W20" s="5">
        <f t="shared" si="5"/>
        <v>0</v>
      </c>
      <c r="X20" s="5">
        <f t="shared" si="6"/>
        <v>0</v>
      </c>
      <c r="Y20" s="5">
        <f t="shared" si="7"/>
        <v>0</v>
      </c>
      <c r="Z20" s="5">
        <f t="shared" si="8"/>
        <v>0</v>
      </c>
    </row>
    <row r="21" spans="1:26" x14ac:dyDescent="0.3">
      <c r="A21" t="s">
        <v>18</v>
      </c>
      <c r="B21">
        <v>6.5</v>
      </c>
      <c r="C21" s="1">
        <v>-0.189</v>
      </c>
      <c r="D21">
        <v>58.8</v>
      </c>
      <c r="E21" s="1">
        <v>-6.0999999999999999E-2</v>
      </c>
      <c r="F21" s="1">
        <v>-9.0999999999999998E-2</v>
      </c>
      <c r="G21">
        <v>232.9</v>
      </c>
      <c r="H21" s="1">
        <v>-0.23200000000000001</v>
      </c>
      <c r="I21" s="1">
        <v>-2.5000000000000001E-2</v>
      </c>
      <c r="J21" t="s">
        <v>58</v>
      </c>
      <c r="K21">
        <v>6.5</v>
      </c>
      <c r="L21" s="1">
        <v>-0.189</v>
      </c>
      <c r="M21">
        <v>58.8</v>
      </c>
      <c r="N21" s="1">
        <v>-6.0999999999999999E-2</v>
      </c>
      <c r="O21" s="1">
        <v>-9.0999999999999998E-2</v>
      </c>
      <c r="P21">
        <v>232.9</v>
      </c>
      <c r="Q21" s="1">
        <v>-0.23200000000000001</v>
      </c>
      <c r="R21" s="1">
        <v>-2.5000000000000001E-2</v>
      </c>
      <c r="S21" s="5">
        <f t="shared" si="1"/>
        <v>0</v>
      </c>
      <c r="T21" s="5">
        <f t="shared" si="2"/>
        <v>0</v>
      </c>
      <c r="U21" s="5">
        <f t="shared" si="3"/>
        <v>0</v>
      </c>
      <c r="V21" s="5">
        <f t="shared" si="4"/>
        <v>0</v>
      </c>
      <c r="W21" s="5">
        <f t="shared" si="5"/>
        <v>0</v>
      </c>
      <c r="X21" s="5">
        <f t="shared" si="6"/>
        <v>0</v>
      </c>
      <c r="Y21" s="5">
        <f t="shared" si="7"/>
        <v>0</v>
      </c>
      <c r="Z21" s="5">
        <f t="shared" si="8"/>
        <v>0</v>
      </c>
    </row>
    <row r="22" spans="1:26" x14ac:dyDescent="0.3">
      <c r="A22" t="s">
        <v>28</v>
      </c>
      <c r="B22">
        <v>0</v>
      </c>
      <c r="C22" s="1">
        <v>-0.93300000000000005</v>
      </c>
      <c r="D22">
        <v>0.8</v>
      </c>
      <c r="E22" s="1">
        <v>-3.4000000000000002E-2</v>
      </c>
      <c r="F22" s="1">
        <v>-5.8000000000000003E-2</v>
      </c>
      <c r="G22">
        <v>3.6</v>
      </c>
      <c r="H22" s="1">
        <v>0.13100000000000001</v>
      </c>
      <c r="I22" s="1">
        <v>-1.2999999999999999E-2</v>
      </c>
      <c r="J22" t="s">
        <v>74</v>
      </c>
      <c r="K22">
        <v>0</v>
      </c>
      <c r="L22" s="1">
        <v>-0.93300000000000005</v>
      </c>
      <c r="M22">
        <v>0.8</v>
      </c>
      <c r="N22" s="1">
        <v>-3.4000000000000002E-2</v>
      </c>
      <c r="O22" s="1">
        <v>-5.8000000000000003E-2</v>
      </c>
      <c r="P22">
        <v>3.6</v>
      </c>
      <c r="Q22" s="1">
        <v>0.13100000000000001</v>
      </c>
      <c r="R22" s="1">
        <v>-1.2999999999999999E-2</v>
      </c>
      <c r="S22" s="5">
        <f t="shared" si="1"/>
        <v>0</v>
      </c>
      <c r="T22" s="5">
        <f t="shared" si="2"/>
        <v>0</v>
      </c>
      <c r="U22" s="5">
        <f t="shared" si="3"/>
        <v>0</v>
      </c>
      <c r="V22" s="5">
        <f t="shared" si="4"/>
        <v>0</v>
      </c>
      <c r="W22" s="5">
        <f t="shared" si="5"/>
        <v>0</v>
      </c>
      <c r="X22" s="5">
        <f t="shared" si="6"/>
        <v>0</v>
      </c>
      <c r="Y22" s="5">
        <f t="shared" si="7"/>
        <v>0</v>
      </c>
      <c r="Z22" s="5">
        <f t="shared" si="8"/>
        <v>0</v>
      </c>
    </row>
    <row r="23" spans="1:26" x14ac:dyDescent="0.3">
      <c r="A23" t="s">
        <v>29</v>
      </c>
      <c r="B23">
        <v>16.899999999999999</v>
      </c>
      <c r="C23" s="1">
        <v>-0.16600000000000001</v>
      </c>
      <c r="D23">
        <v>159.30000000000001</v>
      </c>
      <c r="E23" s="1">
        <v>-0.14499999999999999</v>
      </c>
      <c r="F23" s="1">
        <v>-4.5999999999999999E-2</v>
      </c>
      <c r="G23">
        <v>855.4</v>
      </c>
      <c r="H23" s="1">
        <v>-0.155</v>
      </c>
      <c r="I23" s="1">
        <v>-8.9999999999999993E-3</v>
      </c>
      <c r="J23" t="s">
        <v>75</v>
      </c>
      <c r="K23">
        <v>16.899999999999999</v>
      </c>
      <c r="L23" s="1">
        <v>-0.16600000000000001</v>
      </c>
      <c r="M23">
        <v>159.30000000000001</v>
      </c>
      <c r="N23" s="1">
        <v>-0.14499999999999999</v>
      </c>
      <c r="O23" s="1">
        <v>-4.5999999999999999E-2</v>
      </c>
      <c r="P23">
        <v>855.4</v>
      </c>
      <c r="Q23" s="1">
        <v>-0.155</v>
      </c>
      <c r="R23" s="1">
        <v>-8.9999999999999993E-3</v>
      </c>
      <c r="S23" s="5">
        <f t="shared" si="1"/>
        <v>0</v>
      </c>
      <c r="T23" s="5">
        <f t="shared" si="2"/>
        <v>0</v>
      </c>
      <c r="U23" s="5">
        <f t="shared" si="3"/>
        <v>0</v>
      </c>
      <c r="V23" s="5">
        <f t="shared" si="4"/>
        <v>0</v>
      </c>
      <c r="W23" s="5">
        <f t="shared" si="5"/>
        <v>0</v>
      </c>
      <c r="X23" s="5">
        <f t="shared" si="6"/>
        <v>0</v>
      </c>
      <c r="Y23" s="5">
        <f t="shared" si="7"/>
        <v>0</v>
      </c>
      <c r="Z23" s="5">
        <f t="shared" si="8"/>
        <v>0</v>
      </c>
    </row>
    <row r="24" spans="1:26" x14ac:dyDescent="0.3">
      <c r="A24" t="s">
        <v>30</v>
      </c>
      <c r="B24">
        <v>16.899999999999999</v>
      </c>
      <c r="C24" s="1">
        <v>-0.16600000000000001</v>
      </c>
      <c r="D24">
        <v>158.80000000000001</v>
      </c>
      <c r="E24" s="1">
        <v>-0.14599999999999999</v>
      </c>
      <c r="F24" s="1">
        <v>-4.7E-2</v>
      </c>
      <c r="G24">
        <v>853.4</v>
      </c>
      <c r="H24" s="1">
        <v>-0.156</v>
      </c>
      <c r="I24" s="1">
        <v>-8.9999999999999993E-3</v>
      </c>
      <c r="J24" t="s">
        <v>76</v>
      </c>
      <c r="K24">
        <v>16.899999999999999</v>
      </c>
      <c r="L24" s="1">
        <v>-0.16600000000000001</v>
      </c>
      <c r="M24">
        <v>158.80000000000001</v>
      </c>
      <c r="N24" s="1">
        <v>-0.14599999999999999</v>
      </c>
      <c r="O24" s="1">
        <v>-4.7E-2</v>
      </c>
      <c r="P24">
        <v>853.4</v>
      </c>
      <c r="Q24" s="1">
        <v>-0.156</v>
      </c>
      <c r="R24" s="1">
        <v>-8.9999999999999993E-3</v>
      </c>
      <c r="S24" s="5">
        <f t="shared" si="1"/>
        <v>0</v>
      </c>
      <c r="T24" s="5">
        <f t="shared" si="2"/>
        <v>0</v>
      </c>
      <c r="U24" s="5">
        <f t="shared" si="3"/>
        <v>0</v>
      </c>
      <c r="V24" s="5">
        <f t="shared" si="4"/>
        <v>0</v>
      </c>
      <c r="W24" s="5">
        <f t="shared" si="5"/>
        <v>0</v>
      </c>
      <c r="X24" s="5">
        <f t="shared" si="6"/>
        <v>0</v>
      </c>
      <c r="Y24" s="5">
        <f t="shared" si="7"/>
        <v>0</v>
      </c>
      <c r="Z24" s="5">
        <f t="shared" si="8"/>
        <v>0</v>
      </c>
    </row>
    <row r="25" spans="1:26" x14ac:dyDescent="0.3">
      <c r="A25" t="s">
        <v>17</v>
      </c>
      <c r="B25">
        <v>7.5</v>
      </c>
      <c r="C25" s="1">
        <v>-9.7000000000000003E-2</v>
      </c>
      <c r="D25">
        <v>70.7</v>
      </c>
      <c r="E25" s="1">
        <v>-0.106</v>
      </c>
      <c r="F25" s="1">
        <v>1.2E-2</v>
      </c>
      <c r="G25">
        <v>386.9</v>
      </c>
      <c r="H25" s="1">
        <v>-0.13600000000000001</v>
      </c>
      <c r="I25" s="1">
        <v>2E-3</v>
      </c>
      <c r="J25" t="s">
        <v>53</v>
      </c>
      <c r="K25">
        <v>7.5</v>
      </c>
      <c r="L25" s="1">
        <v>-9.7000000000000003E-2</v>
      </c>
      <c r="M25">
        <v>70.7</v>
      </c>
      <c r="N25" s="1">
        <v>-0.106</v>
      </c>
      <c r="O25" s="1">
        <v>1.2E-2</v>
      </c>
      <c r="P25">
        <v>386.9</v>
      </c>
      <c r="Q25" s="1">
        <v>-0.13600000000000001</v>
      </c>
      <c r="R25" s="1">
        <v>2E-3</v>
      </c>
      <c r="S25" s="5">
        <f t="shared" si="1"/>
        <v>0</v>
      </c>
      <c r="T25" s="5">
        <f t="shared" si="2"/>
        <v>0</v>
      </c>
      <c r="U25" s="5">
        <f t="shared" si="3"/>
        <v>0</v>
      </c>
      <c r="V25" s="5">
        <f t="shared" si="4"/>
        <v>0</v>
      </c>
      <c r="W25" s="5">
        <f t="shared" si="5"/>
        <v>0</v>
      </c>
      <c r="X25" s="5">
        <f t="shared" si="6"/>
        <v>0</v>
      </c>
      <c r="Y25" s="5">
        <f t="shared" si="7"/>
        <v>0</v>
      </c>
      <c r="Z25" s="5">
        <f t="shared" si="8"/>
        <v>0</v>
      </c>
    </row>
    <row r="26" spans="1:26" x14ac:dyDescent="0.3">
      <c r="A26" t="s">
        <v>18</v>
      </c>
      <c r="B26">
        <v>9.4</v>
      </c>
      <c r="C26" s="1">
        <v>-0.214</v>
      </c>
      <c r="D26">
        <v>88.1</v>
      </c>
      <c r="E26" s="1">
        <v>-0.17599999999999999</v>
      </c>
      <c r="F26" s="1">
        <v>-0.09</v>
      </c>
      <c r="G26">
        <v>466.5</v>
      </c>
      <c r="H26" s="1">
        <v>-0.17199999999999999</v>
      </c>
      <c r="I26" s="1">
        <v>-1.7999999999999999E-2</v>
      </c>
      <c r="J26" t="s">
        <v>58</v>
      </c>
      <c r="K26">
        <v>9.4</v>
      </c>
      <c r="L26" s="1">
        <v>-0.214</v>
      </c>
      <c r="M26">
        <v>88.1</v>
      </c>
      <c r="N26" s="1">
        <v>-0.17599999999999999</v>
      </c>
      <c r="O26" s="1">
        <v>-0.09</v>
      </c>
      <c r="P26">
        <v>466.5</v>
      </c>
      <c r="Q26" s="1">
        <v>-0.17199999999999999</v>
      </c>
      <c r="R26" s="1">
        <v>-1.7999999999999999E-2</v>
      </c>
      <c r="S26" s="5">
        <f t="shared" si="1"/>
        <v>0</v>
      </c>
      <c r="T26" s="5">
        <f t="shared" si="2"/>
        <v>0</v>
      </c>
      <c r="U26" s="5">
        <f t="shared" si="3"/>
        <v>0</v>
      </c>
      <c r="V26" s="5">
        <f t="shared" si="4"/>
        <v>0</v>
      </c>
      <c r="W26" s="5">
        <f t="shared" si="5"/>
        <v>0</v>
      </c>
      <c r="X26" s="5">
        <f t="shared" si="6"/>
        <v>0</v>
      </c>
      <c r="Y26" s="5">
        <f t="shared" si="7"/>
        <v>0</v>
      </c>
      <c r="Z26" s="5">
        <f t="shared" si="8"/>
        <v>0</v>
      </c>
    </row>
    <row r="27" spans="1:26" x14ac:dyDescent="0.3">
      <c r="A27" t="s">
        <v>31</v>
      </c>
      <c r="B27">
        <v>0</v>
      </c>
      <c r="C27" s="1">
        <v>-0.106</v>
      </c>
      <c r="D27">
        <v>0.4</v>
      </c>
      <c r="E27" s="1">
        <v>2.734</v>
      </c>
      <c r="F27" s="1">
        <v>0.36499999999999999</v>
      </c>
      <c r="G27">
        <v>2</v>
      </c>
      <c r="H27" s="1">
        <v>0.45700000000000002</v>
      </c>
      <c r="I27" s="1">
        <v>6.4000000000000001E-2</v>
      </c>
      <c r="J27" t="s">
        <v>77</v>
      </c>
      <c r="K27">
        <v>0</v>
      </c>
      <c r="L27" s="1">
        <v>-0.106</v>
      </c>
      <c r="M27">
        <v>0.4</v>
      </c>
      <c r="N27" s="1">
        <v>2.734</v>
      </c>
      <c r="O27" s="1">
        <v>0.36499999999999999</v>
      </c>
      <c r="P27">
        <v>2</v>
      </c>
      <c r="Q27" s="1">
        <v>0.45700000000000002</v>
      </c>
      <c r="R27" s="1">
        <v>6.4000000000000001E-2</v>
      </c>
      <c r="S27" s="5">
        <f t="shared" si="1"/>
        <v>0</v>
      </c>
      <c r="T27" s="5">
        <f t="shared" si="2"/>
        <v>0</v>
      </c>
      <c r="U27" s="5">
        <f t="shared" si="3"/>
        <v>0</v>
      </c>
      <c r="V27" s="5">
        <f t="shared" si="4"/>
        <v>0</v>
      </c>
      <c r="W27" s="5">
        <f t="shared" si="5"/>
        <v>0</v>
      </c>
      <c r="X27" s="5">
        <f t="shared" si="6"/>
        <v>0</v>
      </c>
      <c r="Y27" s="5">
        <f t="shared" si="7"/>
        <v>0</v>
      </c>
      <c r="Z27" s="5">
        <f t="shared" si="8"/>
        <v>0</v>
      </c>
    </row>
    <row r="28" spans="1:26" x14ac:dyDescent="0.3">
      <c r="A28" t="s">
        <v>32</v>
      </c>
      <c r="B28">
        <v>15.1</v>
      </c>
      <c r="C28" s="1">
        <v>-0.14299999999999999</v>
      </c>
      <c r="D28">
        <v>137.9</v>
      </c>
      <c r="E28" s="1">
        <v>-0.17299999999999999</v>
      </c>
      <c r="F28" s="1">
        <v>-7.9000000000000001E-2</v>
      </c>
      <c r="G28">
        <v>675.9</v>
      </c>
      <c r="H28" s="1">
        <v>-0.19700000000000001</v>
      </c>
      <c r="I28" s="1">
        <v>-1.7000000000000001E-2</v>
      </c>
      <c r="J28" t="s">
        <v>63</v>
      </c>
      <c r="K28">
        <v>15.1</v>
      </c>
      <c r="L28" s="1">
        <v>-0.14299999999999999</v>
      </c>
      <c r="M28">
        <v>137.9</v>
      </c>
      <c r="N28" s="1">
        <v>-0.17299999999999999</v>
      </c>
      <c r="O28" s="1">
        <v>-7.9000000000000001E-2</v>
      </c>
      <c r="P28">
        <v>675.9</v>
      </c>
      <c r="Q28" s="1">
        <v>-0.19700000000000001</v>
      </c>
      <c r="R28" s="1">
        <v>-1.7000000000000001E-2</v>
      </c>
      <c r="S28" s="5">
        <f t="shared" si="1"/>
        <v>0</v>
      </c>
      <c r="T28" s="5">
        <f t="shared" si="2"/>
        <v>0</v>
      </c>
      <c r="U28" s="5">
        <f t="shared" si="3"/>
        <v>0</v>
      </c>
      <c r="V28" s="5">
        <f t="shared" si="4"/>
        <v>0</v>
      </c>
      <c r="W28" s="5">
        <f t="shared" si="5"/>
        <v>0</v>
      </c>
      <c r="X28" s="5">
        <f t="shared" si="6"/>
        <v>0</v>
      </c>
      <c r="Y28" s="5">
        <f t="shared" si="7"/>
        <v>0</v>
      </c>
      <c r="Z28" s="5">
        <f t="shared" si="8"/>
        <v>0</v>
      </c>
    </row>
    <row r="29" spans="1:26" x14ac:dyDescent="0.3">
      <c r="A29" t="s">
        <v>33</v>
      </c>
      <c r="B29">
        <v>15.1</v>
      </c>
      <c r="C29" s="1">
        <v>-0.14299999999999999</v>
      </c>
      <c r="D29">
        <v>137.69999999999999</v>
      </c>
      <c r="E29" s="1">
        <v>-0.17199999999999999</v>
      </c>
      <c r="F29" s="1">
        <v>-7.8E-2</v>
      </c>
      <c r="G29">
        <v>672.4</v>
      </c>
      <c r="H29" s="1">
        <v>-0.2</v>
      </c>
      <c r="I29" s="1">
        <v>-1.7000000000000001E-2</v>
      </c>
      <c r="J29" t="s">
        <v>64</v>
      </c>
      <c r="K29">
        <v>15.1</v>
      </c>
      <c r="L29" s="1">
        <v>-0.14299999999999999</v>
      </c>
      <c r="M29">
        <v>137.69999999999999</v>
      </c>
      <c r="N29" s="1">
        <v>-0.17199999999999999</v>
      </c>
      <c r="O29" s="1">
        <v>-7.8E-2</v>
      </c>
      <c r="P29">
        <v>672.4</v>
      </c>
      <c r="Q29" s="1">
        <v>-0.2</v>
      </c>
      <c r="R29" s="1">
        <v>-1.7000000000000001E-2</v>
      </c>
      <c r="S29" s="5">
        <f t="shared" si="1"/>
        <v>0</v>
      </c>
      <c r="T29" s="5">
        <f t="shared" si="2"/>
        <v>0</v>
      </c>
      <c r="U29" s="5">
        <f t="shared" si="3"/>
        <v>0</v>
      </c>
      <c r="V29" s="5">
        <f t="shared" si="4"/>
        <v>0</v>
      </c>
      <c r="W29" s="5">
        <f t="shared" si="5"/>
        <v>0</v>
      </c>
      <c r="X29" s="5">
        <f t="shared" si="6"/>
        <v>0</v>
      </c>
      <c r="Y29" s="5">
        <f t="shared" si="7"/>
        <v>0</v>
      </c>
      <c r="Z29" s="5">
        <f t="shared" si="8"/>
        <v>0</v>
      </c>
    </row>
    <row r="30" spans="1:26" x14ac:dyDescent="0.3">
      <c r="A30" t="s">
        <v>17</v>
      </c>
      <c r="B30">
        <v>6.5</v>
      </c>
      <c r="C30" s="1">
        <v>-0.107</v>
      </c>
      <c r="D30">
        <v>60.6</v>
      </c>
      <c r="E30" s="1">
        <v>-0.14599999999999999</v>
      </c>
      <c r="F30" s="1">
        <v>-4.3999999999999997E-2</v>
      </c>
      <c r="G30">
        <v>316.60000000000002</v>
      </c>
      <c r="H30" s="1">
        <v>-0.153</v>
      </c>
      <c r="I30" s="1">
        <v>-8.9999999999999993E-3</v>
      </c>
      <c r="J30" t="s">
        <v>53</v>
      </c>
      <c r="K30">
        <v>6.5</v>
      </c>
      <c r="L30" s="1">
        <v>-0.107</v>
      </c>
      <c r="M30">
        <v>60.6</v>
      </c>
      <c r="N30" s="1">
        <v>-0.14599999999999999</v>
      </c>
      <c r="O30" s="1">
        <v>-4.3999999999999997E-2</v>
      </c>
      <c r="P30">
        <v>316.60000000000002</v>
      </c>
      <c r="Q30" s="1">
        <v>-0.153</v>
      </c>
      <c r="R30" s="1">
        <v>-8.9999999999999993E-3</v>
      </c>
      <c r="S30" s="5">
        <f t="shared" si="1"/>
        <v>0</v>
      </c>
      <c r="T30" s="5">
        <f t="shared" si="2"/>
        <v>0</v>
      </c>
      <c r="U30" s="5">
        <f t="shared" si="3"/>
        <v>0</v>
      </c>
      <c r="V30" s="5">
        <f t="shared" si="4"/>
        <v>0</v>
      </c>
      <c r="W30" s="5">
        <f t="shared" si="5"/>
        <v>0</v>
      </c>
      <c r="X30" s="5">
        <f t="shared" si="6"/>
        <v>0</v>
      </c>
      <c r="Y30" s="5">
        <f t="shared" si="7"/>
        <v>0</v>
      </c>
      <c r="Z30" s="5">
        <f t="shared" si="8"/>
        <v>0</v>
      </c>
    </row>
    <row r="31" spans="1:26" x14ac:dyDescent="0.3">
      <c r="A31" t="s">
        <v>18</v>
      </c>
      <c r="B31">
        <v>8.6999999999999993</v>
      </c>
      <c r="C31" s="1">
        <v>-0.16700000000000001</v>
      </c>
      <c r="D31">
        <v>77</v>
      </c>
      <c r="E31" s="1">
        <v>-0.192</v>
      </c>
      <c r="F31" s="1">
        <v>-0.10299999999999999</v>
      </c>
      <c r="G31">
        <v>355.8</v>
      </c>
      <c r="H31" s="1">
        <v>-0.23699999999999999</v>
      </c>
      <c r="I31" s="1">
        <v>-2.4E-2</v>
      </c>
      <c r="J31" t="s">
        <v>58</v>
      </c>
      <c r="K31">
        <v>8.6999999999999993</v>
      </c>
      <c r="L31" s="1">
        <v>-0.16700000000000001</v>
      </c>
      <c r="M31">
        <v>77</v>
      </c>
      <c r="N31" s="1">
        <v>-0.192</v>
      </c>
      <c r="O31" s="1">
        <v>-0.10299999999999999</v>
      </c>
      <c r="P31">
        <v>355.8</v>
      </c>
      <c r="Q31" s="1">
        <v>-0.23699999999999999</v>
      </c>
      <c r="R31" s="1">
        <v>-2.4E-2</v>
      </c>
      <c r="S31" s="5">
        <f t="shared" si="1"/>
        <v>0</v>
      </c>
      <c r="T31" s="5">
        <f t="shared" si="2"/>
        <v>0</v>
      </c>
      <c r="U31" s="5">
        <f t="shared" si="3"/>
        <v>0</v>
      </c>
      <c r="V31" s="5">
        <f t="shared" si="4"/>
        <v>0</v>
      </c>
      <c r="W31" s="5">
        <f t="shared" si="5"/>
        <v>0</v>
      </c>
      <c r="X31" s="5">
        <f t="shared" si="6"/>
        <v>0</v>
      </c>
      <c r="Y31" s="5">
        <f t="shared" si="7"/>
        <v>0</v>
      </c>
      <c r="Z31" s="5">
        <f t="shared" si="8"/>
        <v>0</v>
      </c>
    </row>
    <row r="32" spans="1:26" x14ac:dyDescent="0.3">
      <c r="A32" t="s">
        <v>34</v>
      </c>
      <c r="B32">
        <v>0</v>
      </c>
      <c r="C32" s="1">
        <v>-1</v>
      </c>
      <c r="D32">
        <v>0.2</v>
      </c>
      <c r="E32" s="1">
        <v>-0.53300000000000003</v>
      </c>
      <c r="F32" s="1">
        <v>-0.44800000000000001</v>
      </c>
      <c r="G32">
        <v>3.5</v>
      </c>
      <c r="H32" s="1">
        <v>1.7350000000000001</v>
      </c>
      <c r="I32" s="1">
        <v>-4.2999999999999997E-2</v>
      </c>
      <c r="J32" t="s">
        <v>65</v>
      </c>
      <c r="K32">
        <v>0</v>
      </c>
      <c r="L32" s="1">
        <v>-1</v>
      </c>
      <c r="M32">
        <v>0.2</v>
      </c>
      <c r="N32" s="1">
        <v>-0.53300000000000003</v>
      </c>
      <c r="O32" s="1">
        <v>-0.44800000000000001</v>
      </c>
      <c r="P32">
        <v>3.5</v>
      </c>
      <c r="Q32" s="1">
        <v>1.7350000000000001</v>
      </c>
      <c r="R32" s="1">
        <v>-4.2999999999999997E-2</v>
      </c>
      <c r="S32" s="5">
        <f t="shared" si="1"/>
        <v>0</v>
      </c>
      <c r="T32" s="5">
        <f t="shared" si="2"/>
        <v>0</v>
      </c>
      <c r="U32" s="5">
        <f t="shared" si="3"/>
        <v>0</v>
      </c>
      <c r="V32" s="5">
        <f t="shared" si="4"/>
        <v>0</v>
      </c>
      <c r="W32" s="5">
        <f t="shared" si="5"/>
        <v>0</v>
      </c>
      <c r="X32" s="5">
        <f t="shared" si="6"/>
        <v>0</v>
      </c>
      <c r="Y32" s="5">
        <f t="shared" si="7"/>
        <v>0</v>
      </c>
      <c r="Z32" s="5">
        <f t="shared" si="8"/>
        <v>0</v>
      </c>
    </row>
    <row r="33" spans="1:26" x14ac:dyDescent="0.3">
      <c r="A33" t="s">
        <v>35</v>
      </c>
      <c r="B33">
        <v>0</v>
      </c>
      <c r="C33" s="1">
        <v>-1</v>
      </c>
      <c r="D33">
        <v>0</v>
      </c>
      <c r="E33" s="1">
        <v>-1</v>
      </c>
      <c r="F33" t="s">
        <v>36</v>
      </c>
      <c r="G33">
        <v>0</v>
      </c>
      <c r="H33" s="1">
        <v>-1</v>
      </c>
      <c r="I33" t="s">
        <v>36</v>
      </c>
      <c r="J33" t="s">
        <v>35</v>
      </c>
      <c r="K33">
        <v>0</v>
      </c>
      <c r="L33" s="1">
        <v>-1</v>
      </c>
      <c r="M33">
        <v>0</v>
      </c>
      <c r="N33" s="1">
        <v>-1</v>
      </c>
      <c r="O33" t="s">
        <v>36</v>
      </c>
      <c r="P33">
        <v>0</v>
      </c>
      <c r="Q33" s="1">
        <v>-1</v>
      </c>
      <c r="R33" t="s">
        <v>36</v>
      </c>
      <c r="S33" s="5">
        <f t="shared" si="1"/>
        <v>0</v>
      </c>
      <c r="T33" s="5">
        <f t="shared" si="2"/>
        <v>0</v>
      </c>
      <c r="U33" s="5">
        <f t="shared" si="3"/>
        <v>0</v>
      </c>
      <c r="V33" s="5">
        <f t="shared" si="4"/>
        <v>0</v>
      </c>
      <c r="W33" s="5" t="e">
        <f t="shared" si="5"/>
        <v>#VALUE!</v>
      </c>
      <c r="X33" s="5">
        <f t="shared" si="6"/>
        <v>0</v>
      </c>
      <c r="Y33" s="5">
        <f t="shared" si="7"/>
        <v>0</v>
      </c>
      <c r="Z33" s="5" t="e">
        <f t="shared" si="8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Cal</vt:lpstr>
      <vt:lpstr>Compare</vt:lpstr>
      <vt:lpstr>Rawdata 2</vt:lpstr>
      <vt:lpstr>Compare2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2015-06-05T18:17:20Z</dcterms:created>
  <dcterms:modified xsi:type="dcterms:W3CDTF">2025-03-17T09:23:32Z</dcterms:modified>
</cp:coreProperties>
</file>